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/Desktop/"/>
    </mc:Choice>
  </mc:AlternateContent>
  <xr:revisionPtr revIDLastSave="0" documentId="13_ncr:1_{DBD84292-F237-914F-B302-3D3E0A558838}" xr6:coauthVersionLast="47" xr6:coauthVersionMax="47" xr10:uidLastSave="{00000000-0000-0000-0000-000000000000}"/>
  <bookViews>
    <workbookView xWindow="0" yWindow="0" windowWidth="28800" windowHeight="18000" xr2:uid="{B9455DC7-69B0-314A-B02D-0E9A7FBF0261}"/>
  </bookViews>
  <sheets>
    <sheet name="Sheet1" sheetId="1" r:id="rId1"/>
    <sheet name="Control Pan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6" i="1" l="1"/>
  <c r="K86" i="1"/>
  <c r="L86" i="1"/>
  <c r="M86" i="1"/>
  <c r="N86" i="1"/>
  <c r="O86" i="1"/>
  <c r="P86" i="1"/>
  <c r="I86" i="1"/>
  <c r="S78" i="1"/>
  <c r="T78" i="1"/>
  <c r="U78" i="1"/>
  <c r="V78" i="1"/>
  <c r="W78" i="1"/>
  <c r="S77" i="1"/>
  <c r="T77" i="1"/>
  <c r="U77" i="1"/>
  <c r="V77" i="1"/>
  <c r="W77" i="1"/>
  <c r="R77" i="1"/>
  <c r="R78" i="1"/>
  <c r="P81" i="1"/>
  <c r="O81" i="1"/>
  <c r="N81" i="1"/>
  <c r="M81" i="1"/>
  <c r="L81" i="1"/>
  <c r="R39" i="1"/>
  <c r="T40" i="1"/>
  <c r="R85" i="1"/>
  <c r="S62" i="1"/>
  <c r="T62" i="1"/>
  <c r="U62" i="1"/>
  <c r="V62" i="1"/>
  <c r="W62" i="1"/>
  <c r="R62" i="1"/>
  <c r="S60" i="1"/>
  <c r="T60" i="1"/>
  <c r="U60" i="1"/>
  <c r="V60" i="1"/>
  <c r="W60" i="1"/>
  <c r="R60" i="1"/>
  <c r="R59" i="1"/>
  <c r="M94" i="1"/>
  <c r="N94" i="1"/>
  <c r="O94" i="1"/>
  <c r="P94" i="1"/>
  <c r="L94" i="1"/>
  <c r="K32" i="1"/>
  <c r="I175" i="1"/>
  <c r="J175" i="1"/>
  <c r="I176" i="1"/>
  <c r="I177" i="1" s="1"/>
  <c r="I178" i="1" s="1"/>
  <c r="J176" i="1"/>
  <c r="J177" i="1" s="1"/>
  <c r="L124" i="1"/>
  <c r="S80" i="1"/>
  <c r="T80" i="1"/>
  <c r="U80" i="1"/>
  <c r="V80" i="1"/>
  <c r="W80" i="1"/>
  <c r="R80" i="1"/>
  <c r="S79" i="1"/>
  <c r="T79" i="1"/>
  <c r="U79" i="1"/>
  <c r="V79" i="1"/>
  <c r="W79" i="1"/>
  <c r="R79" i="1"/>
  <c r="S40" i="1"/>
  <c r="U40" i="1"/>
  <c r="V40" i="1"/>
  <c r="W40" i="1"/>
  <c r="R40" i="1"/>
  <c r="R4" i="1"/>
  <c r="R74" i="1"/>
  <c r="R73" i="1"/>
  <c r="S70" i="1"/>
  <c r="T70" i="1"/>
  <c r="U70" i="1"/>
  <c r="V70" i="1"/>
  <c r="W70" i="1"/>
  <c r="S71" i="1"/>
  <c r="T71" i="1"/>
  <c r="U71" i="1"/>
  <c r="V71" i="1"/>
  <c r="W71" i="1"/>
  <c r="R71" i="1"/>
  <c r="R70" i="1"/>
  <c r="R66" i="1"/>
  <c r="R55" i="1"/>
  <c r="R54" i="1"/>
  <c r="S51" i="1"/>
  <c r="T51" i="1"/>
  <c r="U51" i="1"/>
  <c r="V51" i="1"/>
  <c r="W51" i="1"/>
  <c r="S52" i="1"/>
  <c r="T52" i="1"/>
  <c r="U52" i="1"/>
  <c r="V52" i="1"/>
  <c r="W52" i="1"/>
  <c r="R49" i="1"/>
  <c r="R50" i="1"/>
  <c r="R51" i="1"/>
  <c r="R52" i="1"/>
  <c r="L50" i="1"/>
  <c r="M50" i="1" s="1"/>
  <c r="L49" i="1"/>
  <c r="S49" i="1" s="1"/>
  <c r="R69" i="1"/>
  <c r="K198" i="1"/>
  <c r="M196" i="1"/>
  <c r="M59" i="1" s="1"/>
  <c r="N196" i="1"/>
  <c r="N59" i="1" s="1"/>
  <c r="U59" i="1" s="1"/>
  <c r="O196" i="1"/>
  <c r="O59" i="1" s="1"/>
  <c r="V59" i="1" s="1"/>
  <c r="P196" i="1"/>
  <c r="P59" i="1" s="1"/>
  <c r="W59" i="1" s="1"/>
  <c r="L196" i="1"/>
  <c r="L59" i="1" s="1"/>
  <c r="S59" i="1" s="1"/>
  <c r="K185" i="1"/>
  <c r="K197" i="1" s="1"/>
  <c r="M163" i="1"/>
  <c r="N163" i="1"/>
  <c r="O163" i="1"/>
  <c r="P163" i="1"/>
  <c r="L163" i="1"/>
  <c r="T59" i="1" l="1"/>
  <c r="L116" i="1" a="1"/>
  <c r="J156" i="1"/>
  <c r="J178" i="1"/>
  <c r="K186" i="1"/>
  <c r="N50" i="1"/>
  <c r="T50" i="1"/>
  <c r="M49" i="1"/>
  <c r="S50" i="1"/>
  <c r="L116" i="1" l="1"/>
  <c r="L122" i="1" s="1"/>
  <c r="O122" i="1"/>
  <c r="P122" i="1"/>
  <c r="M122" i="1"/>
  <c r="N122" i="1"/>
  <c r="T49" i="1"/>
  <c r="N49" i="1"/>
  <c r="O50" i="1"/>
  <c r="U50" i="1"/>
  <c r="P50" i="1" l="1"/>
  <c r="W50" i="1" s="1"/>
  <c r="V50" i="1"/>
  <c r="O49" i="1"/>
  <c r="U49" i="1"/>
  <c r="P49" i="1" l="1"/>
  <c r="W49" i="1" s="1"/>
  <c r="V49" i="1"/>
  <c r="L93" i="1" l="1"/>
  <c r="M93" i="1" s="1"/>
  <c r="N93" i="1" s="1"/>
  <c r="O93" i="1" s="1"/>
  <c r="P93" i="1" s="1"/>
  <c r="L92" i="1"/>
  <c r="M92" i="1" s="1"/>
  <c r="N92" i="1" s="1"/>
  <c r="O92" i="1" s="1"/>
  <c r="P92" i="1" s="1"/>
  <c r="J91" i="1"/>
  <c r="K91" i="1"/>
  <c r="I91" i="1"/>
  <c r="J90" i="1"/>
  <c r="K90" i="1"/>
  <c r="I90" i="1"/>
  <c r="R64" i="1"/>
  <c r="R30" i="1"/>
  <c r="R29" i="1"/>
  <c r="K175" i="1"/>
  <c r="K176" i="1"/>
  <c r="L176" i="1" s="1"/>
  <c r="M176" i="1" s="1"/>
  <c r="N176" i="1" s="1"/>
  <c r="O176" i="1" s="1"/>
  <c r="P176" i="1" s="1"/>
  <c r="K177" i="1" l="1"/>
  <c r="K156" i="1" s="1"/>
  <c r="K178" i="1" l="1"/>
  <c r="R48" i="1" l="1"/>
  <c r="J162" i="1"/>
  <c r="K162" i="1"/>
  <c r="I162" i="1"/>
  <c r="I164" i="1" s="1"/>
  <c r="I165" i="1" s="1"/>
  <c r="K163" i="1"/>
  <c r="J163" i="1"/>
  <c r="I32" i="1"/>
  <c r="I158" i="1"/>
  <c r="K164" i="1" l="1"/>
  <c r="K165" i="1" s="1"/>
  <c r="L183" i="1"/>
  <c r="M164" i="1"/>
  <c r="M155" i="1" s="1"/>
  <c r="N164" i="1"/>
  <c r="N155" i="1" s="1"/>
  <c r="O164" i="1"/>
  <c r="O155" i="1" s="1"/>
  <c r="L164" i="1"/>
  <c r="L155" i="1" s="1"/>
  <c r="P164" i="1"/>
  <c r="P155" i="1" s="1"/>
  <c r="J154" i="1"/>
  <c r="I159" i="1"/>
  <c r="J164" i="1"/>
  <c r="J165" i="1" s="1"/>
  <c r="L185" i="1" l="1"/>
  <c r="L188" i="1"/>
  <c r="K155" i="1"/>
  <c r="B169" i="1" a="1"/>
  <c r="B169" i="1" s="1"/>
  <c r="M183" i="1"/>
  <c r="M188" i="1" s="1"/>
  <c r="J155" i="1"/>
  <c r="J158" i="1" s="1"/>
  <c r="J159" i="1" s="1"/>
  <c r="L197" i="1" l="1"/>
  <c r="L198" i="1" s="1"/>
  <c r="L69" i="1"/>
  <c r="L73" i="1" s="1"/>
  <c r="M185" i="1"/>
  <c r="K154" i="1"/>
  <c r="K158" i="1" s="1"/>
  <c r="K159" i="1" s="1"/>
  <c r="S73" i="1" l="1"/>
  <c r="L186" i="1"/>
  <c r="S69" i="1"/>
  <c r="N183" i="1"/>
  <c r="N188" i="1" s="1"/>
  <c r="M197" i="1"/>
  <c r="M198" i="1" s="1"/>
  <c r="M69" i="1"/>
  <c r="L154" i="1"/>
  <c r="T69" i="1" l="1"/>
  <c r="M73" i="1"/>
  <c r="N185" i="1"/>
  <c r="N69" i="1" s="1"/>
  <c r="O183" i="1"/>
  <c r="O188" i="1" s="1"/>
  <c r="M186" i="1"/>
  <c r="I150" i="1"/>
  <c r="J147" i="1" s="1"/>
  <c r="K148" i="1"/>
  <c r="J148" i="1"/>
  <c r="R83" i="1"/>
  <c r="R45" i="1"/>
  <c r="R81" i="1"/>
  <c r="R43" i="1"/>
  <c r="R63" i="1"/>
  <c r="I144" i="1"/>
  <c r="I143" i="1"/>
  <c r="K143" i="1"/>
  <c r="K144" i="1"/>
  <c r="J144" i="1"/>
  <c r="J143" i="1"/>
  <c r="R61" i="1"/>
  <c r="R42" i="1"/>
  <c r="R41" i="1"/>
  <c r="K142" i="1"/>
  <c r="J142" i="1"/>
  <c r="K141" i="1"/>
  <c r="J141" i="1"/>
  <c r="J140" i="1"/>
  <c r="K140" i="1"/>
  <c r="R28" i="1"/>
  <c r="M28" i="1"/>
  <c r="N28" i="1"/>
  <c r="O28" i="1"/>
  <c r="P28" i="1"/>
  <c r="L28" i="1"/>
  <c r="K24" i="1"/>
  <c r="R23" i="1"/>
  <c r="S20" i="1"/>
  <c r="T20" i="1"/>
  <c r="U20" i="1"/>
  <c r="V20" i="1"/>
  <c r="W20" i="1"/>
  <c r="R20" i="1"/>
  <c r="S19" i="1"/>
  <c r="T19" i="1"/>
  <c r="U19" i="1"/>
  <c r="V19" i="1"/>
  <c r="W19" i="1"/>
  <c r="R19" i="1"/>
  <c r="R9" i="1"/>
  <c r="R14" i="1"/>
  <c r="R15" i="1"/>
  <c r="R22" i="1"/>
  <c r="R16" i="1"/>
  <c r="R10" i="1"/>
  <c r="R8" i="1"/>
  <c r="S4" i="1" a="1"/>
  <c r="S4" i="1" s="1"/>
  <c r="K18" i="1"/>
  <c r="K21" i="1" s="1"/>
  <c r="J18" i="1"/>
  <c r="J21" i="1" s="1"/>
  <c r="B16" i="1"/>
  <c r="M11" i="1"/>
  <c r="N11" i="1"/>
  <c r="O11" i="1"/>
  <c r="P11" i="1"/>
  <c r="L11" i="1"/>
  <c r="J11" i="1"/>
  <c r="K11" i="1"/>
  <c r="I11" i="1"/>
  <c r="L8" i="1"/>
  <c r="L131" i="1" s="1"/>
  <c r="I18" i="1"/>
  <c r="I21" i="1" s="1"/>
  <c r="I94" i="1" a="1"/>
  <c r="I94" i="1" s="1"/>
  <c r="J128" i="1"/>
  <c r="K128" i="1"/>
  <c r="I128" i="1"/>
  <c r="I27" i="1" a="1"/>
  <c r="J24" i="1"/>
  <c r="I24" i="1"/>
  <c r="I27" i="1" l="1"/>
  <c r="I33" i="1" s="1"/>
  <c r="K33" i="1"/>
  <c r="U69" i="1"/>
  <c r="N73" i="1"/>
  <c r="O185" i="1"/>
  <c r="N197" i="1"/>
  <c r="N198" i="1" s="1"/>
  <c r="T73" i="1"/>
  <c r="N186" i="1"/>
  <c r="P183" i="1"/>
  <c r="O197" i="1"/>
  <c r="O198" i="1" s="1"/>
  <c r="O69" i="1"/>
  <c r="O186" i="1" s="1"/>
  <c r="P185" i="1"/>
  <c r="P188" i="1"/>
  <c r="L10" i="1"/>
  <c r="L9" i="1" s="1"/>
  <c r="S9" i="1" s="1"/>
  <c r="J150" i="1"/>
  <c r="J151" i="1" s="1"/>
  <c r="I151" i="1"/>
  <c r="R21" i="1"/>
  <c r="V28" i="1"/>
  <c r="L134" i="1"/>
  <c r="L41" i="1" s="1"/>
  <c r="L136" i="1"/>
  <c r="L43" i="1" s="1"/>
  <c r="S8" i="1"/>
  <c r="U28" i="1"/>
  <c r="R27" i="1"/>
  <c r="T28" i="1"/>
  <c r="L138" i="1"/>
  <c r="R18" i="1"/>
  <c r="W28" i="1"/>
  <c r="S28" i="1"/>
  <c r="L16" i="1"/>
  <c r="M8" i="1"/>
  <c r="M131" i="1" s="1"/>
  <c r="M136" i="1" s="1"/>
  <c r="M43" i="1" s="1"/>
  <c r="M138" i="1" l="1"/>
  <c r="M63" i="1" s="1"/>
  <c r="L63" i="1"/>
  <c r="S63" i="1" s="1"/>
  <c r="V69" i="1"/>
  <c r="O73" i="1"/>
  <c r="U73" i="1"/>
  <c r="P197" i="1"/>
  <c r="P198" i="1" s="1"/>
  <c r="B13" i="2" s="1"/>
  <c r="P69" i="1"/>
  <c r="P73" i="1" s="1"/>
  <c r="S10" i="1"/>
  <c r="S41" i="1"/>
  <c r="L98" i="1"/>
  <c r="K147" i="1"/>
  <c r="K150" i="1" s="1"/>
  <c r="L147" i="1" s="1"/>
  <c r="T63" i="1"/>
  <c r="S16" i="1"/>
  <c r="L14" i="1"/>
  <c r="S14" i="1" s="1"/>
  <c r="L15" i="1"/>
  <c r="N138" i="1"/>
  <c r="M10" i="1"/>
  <c r="M9" i="1" s="1"/>
  <c r="T8" i="1"/>
  <c r="M16" i="1"/>
  <c r="L18" i="1"/>
  <c r="N8" i="1"/>
  <c r="N131" i="1" s="1"/>
  <c r="N136" i="1" s="1"/>
  <c r="N43" i="1" s="1"/>
  <c r="N63" i="1" l="1"/>
  <c r="U63" i="1" s="1"/>
  <c r="W73" i="1"/>
  <c r="V73" i="1"/>
  <c r="P186" i="1"/>
  <c r="B12" i="2" s="1"/>
  <c r="W69" i="1"/>
  <c r="S15" i="1"/>
  <c r="K151" i="1"/>
  <c r="L21" i="1"/>
  <c r="S18" i="1"/>
  <c r="T9" i="1"/>
  <c r="T16" i="1"/>
  <c r="M14" i="1"/>
  <c r="T14" i="1" s="1"/>
  <c r="M15" i="1"/>
  <c r="T15" i="1" s="1"/>
  <c r="T10" i="1"/>
  <c r="M18" i="1"/>
  <c r="N10" i="1"/>
  <c r="N9" i="1" s="1"/>
  <c r="U8" i="1"/>
  <c r="N16" i="1"/>
  <c r="O8" i="1"/>
  <c r="O131" i="1" s="1"/>
  <c r="O136" i="1" s="1"/>
  <c r="O43" i="1" s="1"/>
  <c r="L22" i="1" l="1"/>
  <c r="L23" i="1" s="1"/>
  <c r="L90" i="1" s="1"/>
  <c r="O138" i="1"/>
  <c r="O63" i="1"/>
  <c r="V63" i="1" s="1"/>
  <c r="U9" i="1"/>
  <c r="S21" i="1"/>
  <c r="T18" i="1"/>
  <c r="M21" i="1"/>
  <c r="U16" i="1"/>
  <c r="N15" i="1"/>
  <c r="U15" i="1" s="1"/>
  <c r="N14" i="1"/>
  <c r="U14" i="1" s="1"/>
  <c r="S22" i="1"/>
  <c r="L29" i="1"/>
  <c r="L148" i="1" s="1"/>
  <c r="L150" i="1" s="1"/>
  <c r="N18" i="1"/>
  <c r="U10" i="1"/>
  <c r="O10" i="1"/>
  <c r="O9" i="1" s="1"/>
  <c r="V8" i="1"/>
  <c r="O16" i="1"/>
  <c r="P8" i="1"/>
  <c r="P131" i="1" s="1"/>
  <c r="P136" i="1" s="1"/>
  <c r="P43" i="1" s="1"/>
  <c r="P138" i="1" l="1"/>
  <c r="P63" i="1" s="1"/>
  <c r="W63" i="1" s="1"/>
  <c r="M22" i="1"/>
  <c r="M23" i="1" s="1"/>
  <c r="M90" i="1" s="1"/>
  <c r="P100" i="1"/>
  <c r="N100" i="1"/>
  <c r="O100" i="1"/>
  <c r="M147" i="1"/>
  <c r="V9" i="1"/>
  <c r="V43" i="1"/>
  <c r="U43" i="1"/>
  <c r="W43" i="1"/>
  <c r="T21" i="1"/>
  <c r="V16" i="1"/>
  <c r="O14" i="1"/>
  <c r="V14" i="1" s="1"/>
  <c r="O15" i="1"/>
  <c r="V15" i="1" s="1"/>
  <c r="N21" i="1"/>
  <c r="L27" i="1"/>
  <c r="S23" i="1"/>
  <c r="L24" i="1"/>
  <c r="S29" i="1"/>
  <c r="V10" i="1"/>
  <c r="O18" i="1"/>
  <c r="V18" i="1" s="1"/>
  <c r="P10" i="1"/>
  <c r="P9" i="1" s="1"/>
  <c r="W8" i="1"/>
  <c r="P16" i="1"/>
  <c r="U18" i="1"/>
  <c r="M29" i="1" l="1"/>
  <c r="M148" i="1" s="1"/>
  <c r="T22" i="1"/>
  <c r="N22" i="1"/>
  <c r="N29" i="1" s="1"/>
  <c r="N148" i="1" s="1"/>
  <c r="S27" i="1"/>
  <c r="M150" i="1"/>
  <c r="S43" i="1"/>
  <c r="M100" i="1"/>
  <c r="L100" i="1"/>
  <c r="T43" i="1"/>
  <c r="W9" i="1"/>
  <c r="L132" i="1" a="1"/>
  <c r="U21" i="1"/>
  <c r="T29" i="1"/>
  <c r="W16" i="1"/>
  <c r="P14" i="1"/>
  <c r="W14" i="1" s="1"/>
  <c r="P15" i="1"/>
  <c r="W15" i="1" s="1"/>
  <c r="O21" i="1"/>
  <c r="O22" i="1" s="1"/>
  <c r="O23" i="1" s="1"/>
  <c r="U22" i="1"/>
  <c r="M24" i="1"/>
  <c r="M27" i="1"/>
  <c r="T23" i="1"/>
  <c r="W10" i="1"/>
  <c r="P18" i="1"/>
  <c r="N23" i="1" l="1"/>
  <c r="N90" i="1" s="1"/>
  <c r="T27" i="1"/>
  <c r="T81" i="1"/>
  <c r="L83" i="1"/>
  <c r="S83" i="1" s="1"/>
  <c r="S81" i="1"/>
  <c r="N147" i="1"/>
  <c r="N150" i="1" s="1"/>
  <c r="O147" i="1" s="1"/>
  <c r="W18" i="1"/>
  <c r="P21" i="1"/>
  <c r="P22" i="1" s="1"/>
  <c r="P23" i="1" s="1"/>
  <c r="O90" i="1"/>
  <c r="V21" i="1"/>
  <c r="N24" i="1"/>
  <c r="N27" i="1"/>
  <c r="U23" i="1"/>
  <c r="U29" i="1"/>
  <c r="V22" i="1"/>
  <c r="O29" i="1"/>
  <c r="O148" i="1" s="1"/>
  <c r="L132" i="1"/>
  <c r="N137" i="1"/>
  <c r="N61" i="1" s="1"/>
  <c r="N135" i="1"/>
  <c r="N42" i="1" s="1"/>
  <c r="P137" i="1"/>
  <c r="P61" i="1" s="1"/>
  <c r="O137" i="1"/>
  <c r="O61" i="1" s="1"/>
  <c r="O135" i="1"/>
  <c r="O42" i="1" s="1"/>
  <c r="P135" i="1"/>
  <c r="P42" i="1" s="1"/>
  <c r="M137" i="1"/>
  <c r="M61" i="1" s="1"/>
  <c r="M135" i="1"/>
  <c r="M42" i="1" s="1"/>
  <c r="U27" i="1" l="1"/>
  <c r="M83" i="1"/>
  <c r="T83" i="1" s="1"/>
  <c r="O150" i="1"/>
  <c r="P147" i="1" s="1"/>
  <c r="P101" i="1"/>
  <c r="N101" i="1"/>
  <c r="O99" i="1"/>
  <c r="O101" i="1"/>
  <c r="P99" i="1"/>
  <c r="N99" i="1"/>
  <c r="W61" i="1"/>
  <c r="W42" i="1"/>
  <c r="U61" i="1"/>
  <c r="U42" i="1"/>
  <c r="V61" i="1"/>
  <c r="W21" i="1"/>
  <c r="P90" i="1"/>
  <c r="L135" i="1"/>
  <c r="L42" i="1" s="1"/>
  <c r="L137" i="1"/>
  <c r="L61" i="1" s="1"/>
  <c r="P29" i="1"/>
  <c r="P148" i="1" s="1"/>
  <c r="W22" i="1"/>
  <c r="V42" i="1"/>
  <c r="V29" i="1"/>
  <c r="O27" i="1"/>
  <c r="V23" i="1"/>
  <c r="O24" i="1"/>
  <c r="V27" i="1" l="1"/>
  <c r="V81" i="1"/>
  <c r="N83" i="1"/>
  <c r="U83" i="1" s="1"/>
  <c r="U81" i="1"/>
  <c r="M101" i="1"/>
  <c r="P150" i="1"/>
  <c r="L64" i="1" s="1" a="1"/>
  <c r="L64" i="1" s="1"/>
  <c r="T42" i="1"/>
  <c r="M99" i="1"/>
  <c r="L99" i="1"/>
  <c r="S61" i="1"/>
  <c r="L101" i="1"/>
  <c r="T61" i="1"/>
  <c r="S42" i="1"/>
  <c r="P27" i="1"/>
  <c r="W27" i="1" s="1"/>
  <c r="W23" i="1"/>
  <c r="P24" i="1"/>
  <c r="W29" i="1"/>
  <c r="P83" i="1" l="1"/>
  <c r="O83" i="1"/>
  <c r="V83" i="1" s="1"/>
  <c r="L66" i="1"/>
  <c r="P66" i="1"/>
  <c r="O66" i="1"/>
  <c r="M66" i="1"/>
  <c r="N66" i="1"/>
  <c r="P151" i="1"/>
  <c r="V64" i="1"/>
  <c r="W64" i="1"/>
  <c r="O151" i="1"/>
  <c r="M151" i="1"/>
  <c r="N151" i="1"/>
  <c r="U64" i="1"/>
  <c r="I5" i="1" a="1"/>
  <c r="I34" i="1"/>
  <c r="W81" i="1" l="1"/>
  <c r="T66" i="1"/>
  <c r="M74" i="1"/>
  <c r="M85" i="1" s="1"/>
  <c r="V66" i="1"/>
  <c r="O74" i="1"/>
  <c r="O85" i="1" s="1"/>
  <c r="W66" i="1"/>
  <c r="P74" i="1"/>
  <c r="P85" i="1" s="1"/>
  <c r="U66" i="1"/>
  <c r="N74" i="1"/>
  <c r="N85" i="1" s="1"/>
  <c r="S66" i="1"/>
  <c r="L74" i="1"/>
  <c r="I5" i="1"/>
  <c r="A169" i="1" a="1"/>
  <c r="A169" i="1" s="1"/>
  <c r="L169" i="1" s="1" a="1"/>
  <c r="L151" i="1"/>
  <c r="S64" i="1"/>
  <c r="T64" i="1"/>
  <c r="K34" i="1"/>
  <c r="W83" i="1"/>
  <c r="J32" i="1"/>
  <c r="J33" i="1" s="1"/>
  <c r="M134" i="1"/>
  <c r="M41" i="1" s="1"/>
  <c r="N134" i="1"/>
  <c r="N41" i="1" s="1"/>
  <c r="O134" i="1"/>
  <c r="O41" i="1" s="1"/>
  <c r="P134" i="1"/>
  <c r="P41" i="1" s="1"/>
  <c r="U85" i="1" l="1"/>
  <c r="W41" i="1"/>
  <c r="W85" i="1"/>
  <c r="V85" i="1"/>
  <c r="T41" i="1"/>
  <c r="N98" i="1"/>
  <c r="M98" i="1"/>
  <c r="S74" i="1"/>
  <c r="L85" i="1"/>
  <c r="S85" i="1" s="1"/>
  <c r="P98" i="1"/>
  <c r="V41" i="1"/>
  <c r="U41" i="1"/>
  <c r="O98" i="1"/>
  <c r="U74" i="1"/>
  <c r="T74" i="1"/>
  <c r="V74" i="1"/>
  <c r="W74" i="1"/>
  <c r="N175" i="1"/>
  <c r="N177" i="1" s="1"/>
  <c r="N156" i="1" s="1"/>
  <c r="O175" i="1"/>
  <c r="O177" i="1" s="1"/>
  <c r="O156" i="1" s="1"/>
  <c r="M175" i="1"/>
  <c r="M177" i="1" s="1"/>
  <c r="M156" i="1" s="1"/>
  <c r="P175" i="1"/>
  <c r="P177" i="1" s="1"/>
  <c r="P156" i="1" s="1"/>
  <c r="L169" i="1"/>
  <c r="L175" i="1" s="1"/>
  <c r="L177" i="1" s="1"/>
  <c r="L156" i="1" s="1"/>
  <c r="R32" i="1"/>
  <c r="T85" i="1" l="1"/>
  <c r="M30" i="1"/>
  <c r="M91" i="1" s="1"/>
  <c r="M103" i="1" s="1"/>
  <c r="P30" i="1"/>
  <c r="O30" i="1"/>
  <c r="N30" i="1"/>
  <c r="J34" i="1"/>
  <c r="R33" i="1"/>
  <c r="M32" i="1" l="1"/>
  <c r="M178" i="1"/>
  <c r="O91" i="1"/>
  <c r="O103" i="1" s="1"/>
  <c r="V30" i="1"/>
  <c r="O32" i="1"/>
  <c r="O33" i="1" s="1"/>
  <c r="N91" i="1"/>
  <c r="N103" i="1" s="1"/>
  <c r="U30" i="1"/>
  <c r="N32" i="1"/>
  <c r="N33" i="1" s="1"/>
  <c r="W30" i="1"/>
  <c r="P91" i="1"/>
  <c r="P103" i="1" s="1"/>
  <c r="P32" i="1"/>
  <c r="O178" i="1"/>
  <c r="N178" i="1"/>
  <c r="P178" i="1"/>
  <c r="B8" i="2"/>
  <c r="L30" i="1"/>
  <c r="M33" i="1" l="1"/>
  <c r="M34" i="1" s="1"/>
  <c r="U32" i="1"/>
  <c r="P33" i="1"/>
  <c r="W32" i="1"/>
  <c r="V32" i="1"/>
  <c r="L91" i="1"/>
  <c r="L103" i="1" s="1"/>
  <c r="S30" i="1"/>
  <c r="T30" i="1"/>
  <c r="L158" i="1"/>
  <c r="L48" i="1" s="1"/>
  <c r="L32" i="1"/>
  <c r="L33" i="1" s="1"/>
  <c r="L178" i="1"/>
  <c r="B11" i="2" s="1"/>
  <c r="L109" i="1" l="1"/>
  <c r="L54" i="1"/>
  <c r="W33" i="1"/>
  <c r="P34" i="1"/>
  <c r="O34" i="1"/>
  <c r="V33" i="1"/>
  <c r="N34" i="1"/>
  <c r="U33" i="1"/>
  <c r="T32" i="1"/>
  <c r="S32" i="1"/>
  <c r="L112" i="1" l="1"/>
  <c r="L126" i="1" s="1"/>
  <c r="L127" i="1" s="1"/>
  <c r="M124" i="1" s="1"/>
  <c r="L165" i="1"/>
  <c r="S54" i="1"/>
  <c r="S33" i="1"/>
  <c r="L34" i="1"/>
  <c r="T33" i="1"/>
  <c r="M154" i="1" l="1"/>
  <c r="M158" i="1" s="1"/>
  <c r="M48" i="1" s="1"/>
  <c r="L159" i="1"/>
  <c r="M54" i="1" l="1"/>
  <c r="T54" i="1" s="1"/>
  <c r="M109" i="1"/>
  <c r="M112" i="1" s="1"/>
  <c r="M126" i="1" s="1"/>
  <c r="M127" i="1" s="1"/>
  <c r="N124" i="1" s="1"/>
  <c r="M159" i="1"/>
  <c r="N154" i="1"/>
  <c r="N158" i="1" s="1"/>
  <c r="N48" i="1" s="1"/>
  <c r="N54" i="1" s="1"/>
  <c r="S48" i="1"/>
  <c r="U54" i="1" l="1"/>
  <c r="M165" i="1"/>
  <c r="O154" i="1"/>
  <c r="O158" i="1" s="1"/>
  <c r="O48" i="1" s="1"/>
  <c r="O54" i="1" s="1"/>
  <c r="T48" i="1"/>
  <c r="V54" i="1" l="1"/>
  <c r="U48" i="1"/>
  <c r="N109" i="1"/>
  <c r="P154" i="1"/>
  <c r="P158" i="1" s="1"/>
  <c r="P48" i="1" s="1"/>
  <c r="P54" i="1" s="1"/>
  <c r="O159" i="1"/>
  <c r="N159" i="1"/>
  <c r="N165" i="1" l="1"/>
  <c r="N112" i="1"/>
  <c r="N126" i="1" s="1"/>
  <c r="N127" i="1" s="1"/>
  <c r="W54" i="1"/>
  <c r="V48" i="1"/>
  <c r="W48" i="1"/>
  <c r="O109" i="1"/>
  <c r="O124" i="1" l="1"/>
  <c r="O165" i="1"/>
  <c r="O112" i="1"/>
  <c r="O126" i="1" s="1"/>
  <c r="P159" i="1"/>
  <c r="B9" i="2" s="1"/>
  <c r="P109" i="1"/>
  <c r="O127" i="1" l="1"/>
  <c r="P165" i="1"/>
  <c r="B10" i="2" s="1"/>
  <c r="P112" i="1"/>
  <c r="P126" i="1" s="1"/>
  <c r="P124" i="1" l="1"/>
  <c r="P127" i="1" s="1"/>
  <c r="L39" i="1" l="1" a="1"/>
  <c r="P128" i="1" l="1"/>
  <c r="V39" i="1"/>
  <c r="W39" i="1"/>
  <c r="U39" i="1"/>
  <c r="N45" i="1"/>
  <c r="L39" i="1"/>
  <c r="S39" i="1" s="1"/>
  <c r="M128" i="1"/>
  <c r="P45" i="1"/>
  <c r="O45" i="1"/>
  <c r="M45" i="1"/>
  <c r="M55" i="1" s="1"/>
  <c r="N128" i="1"/>
  <c r="O128" i="1"/>
  <c r="T39" i="1" l="1"/>
  <c r="W45" i="1"/>
  <c r="P55" i="1"/>
  <c r="L128" i="1"/>
  <c r="B7" i="2" s="1"/>
  <c r="L45" i="1"/>
  <c r="V45" i="1"/>
  <c r="O55" i="1"/>
  <c r="N55" i="1"/>
  <c r="U45" i="1"/>
  <c r="U55" i="1" l="1"/>
  <c r="V55" i="1"/>
  <c r="T45" i="1"/>
  <c r="S45" i="1"/>
  <c r="L55" i="1"/>
  <c r="W55" i="1"/>
  <c r="B6" i="2" l="1"/>
  <c r="B4" i="2" s="1"/>
  <c r="B5" i="1" s="1"/>
  <c r="S55" i="1"/>
  <c r="T5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Ati</author>
  </authors>
  <commentList>
    <comment ref="B8" authorId="0" shapeId="0" xr:uid="{0DC46927-8234-8F4B-8FF9-7F6C37C09668}">
      <text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Explanation: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Revenue growth from 2022-2023 was 9.7%, but for the following year it declined to 0.3%. This assumption predicts the growth will gradually increase in the following years as follows:
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2025: 0.5%
</t>
        </r>
        <r>
          <rPr>
            <sz val="10"/>
            <color rgb="FF000000"/>
            <rFont val="Tahoma"/>
            <family val="2"/>
          </rPr>
          <t xml:space="preserve">2026: 2%
</t>
        </r>
        <r>
          <rPr>
            <sz val="10"/>
            <color rgb="FF000000"/>
            <rFont val="Tahoma"/>
            <family val="2"/>
          </rPr>
          <t xml:space="preserve">2027: 4%
</t>
        </r>
        <r>
          <rPr>
            <sz val="10"/>
            <color rgb="FF000000"/>
            <rFont val="Tahoma"/>
            <family val="2"/>
          </rPr>
          <t xml:space="preserve">2028: 5%
</t>
        </r>
        <r>
          <rPr>
            <sz val="10"/>
            <color rgb="FF000000"/>
            <rFont val="Tahoma"/>
            <family val="2"/>
          </rPr>
          <t>2029: 6%</t>
        </r>
      </text>
    </comment>
    <comment ref="F81" authorId="0" shapeId="0" xr:uid="{E7DFB474-FA47-6641-B20C-1F3435C85B9F}">
      <text>
        <r>
          <rPr>
            <sz val="10"/>
            <color rgb="FF000000"/>
            <rFont val="Tahoma"/>
            <family val="2"/>
          </rPr>
          <t>Assumption for depriciation hard-coded into formula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tc={257B6AC6-639B-264A-BA2B-967968B34174}</author>
  </authors>
  <commentList>
    <comment ref="B26" authorId="0" shapeId="0" xr:uid="{257B6AC6-639B-264A-BA2B-967968B34174}">
      <text>
        <t>[Threaded comment]
Your version of Excel allows you to read this threaded comment; however, any edits to it will get removed if the file is opened in a newer version of Excel. Learn more: https://go.microsoft.com/fwlink/?linkid=870924
Comment:
    Each cell will contain an explainer comment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<sst xmlns="http://schemas.openxmlformats.org/spreadsheetml/2006/main" count="269" uniqueCount="198">
  <si>
    <t>Income Statement</t>
  </si>
  <si>
    <t>Revenues</t>
  </si>
  <si>
    <t>Gross profit</t>
  </si>
  <si>
    <t>Demand creation expense</t>
  </si>
  <si>
    <t>Operating overhead expense</t>
  </si>
  <si>
    <t>Total selling and administrative expense</t>
  </si>
  <si>
    <t>Other (income) expense, net</t>
  </si>
  <si>
    <t>Income before income taxes</t>
  </si>
  <si>
    <t>Income tax expense</t>
  </si>
  <si>
    <t>Year</t>
  </si>
  <si>
    <t>Master Error Check Cell</t>
  </si>
  <si>
    <t>Notes</t>
  </si>
  <si>
    <t>Assumptions</t>
  </si>
  <si>
    <t>Actual or Forecast</t>
  </si>
  <si>
    <t>Three Statement Operating  Model: Nike</t>
  </si>
  <si>
    <t>Net income</t>
  </si>
  <si>
    <t>Balance Sheet</t>
  </si>
  <si>
    <t>Cash and equivalents</t>
  </si>
  <si>
    <t>Short-term investments</t>
  </si>
  <si>
    <t>Accounts receivable, net</t>
  </si>
  <si>
    <t>Inventories</t>
  </si>
  <si>
    <t>Prepaid expenses and other current assets</t>
  </si>
  <si>
    <t>Total current assets</t>
  </si>
  <si>
    <t>Property, plant and equipment, net</t>
  </si>
  <si>
    <t>Operating lease right-of-use assets, net</t>
  </si>
  <si>
    <t>Identifiable intangible assets, net</t>
  </si>
  <si>
    <t>Goodwill</t>
  </si>
  <si>
    <t>Deferred income taxes and other assets</t>
  </si>
  <si>
    <t>LIABILITIES AND SHAREHOLDERS' EQUITY</t>
  </si>
  <si>
    <t>Current liabilities:</t>
  </si>
  <si>
    <t>Current portion of long-term debt</t>
  </si>
  <si>
    <t>Notes payable</t>
  </si>
  <si>
    <t>Accounts payable</t>
  </si>
  <si>
    <t>Current portion of operating lease liabilities</t>
  </si>
  <si>
    <t>Accrued liabilities</t>
  </si>
  <si>
    <t>Income taxes payable</t>
  </si>
  <si>
    <t>Total current liabilities</t>
  </si>
  <si>
    <t>Long-term debt</t>
  </si>
  <si>
    <t>Operating lease liabilities</t>
  </si>
  <si>
    <t>Deferred income taxes and other liabilities</t>
  </si>
  <si>
    <t>Shareholders' equity:</t>
  </si>
  <si>
    <t>Capital in excess of stated value</t>
  </si>
  <si>
    <t>Total shareholders' equity</t>
  </si>
  <si>
    <t>Long-term assets:</t>
  </si>
  <si>
    <t>Long-term liabilities:</t>
  </si>
  <si>
    <t>Total long-term liabilities</t>
  </si>
  <si>
    <t>Actual</t>
  </si>
  <si>
    <t>Forecast</t>
  </si>
  <si>
    <t>Current Assets:</t>
  </si>
  <si>
    <t>Statement of Cash Flows</t>
  </si>
  <si>
    <t>Depreciation</t>
  </si>
  <si>
    <t>Deferred income taxes</t>
  </si>
  <si>
    <t>Stock-based compensation</t>
  </si>
  <si>
    <t>Net foreign currency adjustments</t>
  </si>
  <si>
    <t>Changes in certain working capital components and other assets and liabilities:</t>
  </si>
  <si>
    <t>Purchases of short-term investments</t>
  </si>
  <si>
    <t>Maturities of short-term investments</t>
  </si>
  <si>
    <t>Sales of short-term investments</t>
  </si>
  <si>
    <t>Additions to property, plant and equipment</t>
  </si>
  <si>
    <t>Other investing activities</t>
  </si>
  <si>
    <t>Repayment of borrowings</t>
  </si>
  <si>
    <t>Proceeds from exercise of stock options and other stock issuances</t>
  </si>
  <si>
    <t>Repurchase of common stock</t>
  </si>
  <si>
    <t>Dividends — common and preferred</t>
  </si>
  <si>
    <t>Other financing activities</t>
  </si>
  <si>
    <t>Effect of exchange rate changes on cash and equivalents</t>
  </si>
  <si>
    <t>Net increase (decrease) in cash and equivalents</t>
  </si>
  <si>
    <t>Cash and equivalents, beginning of year</t>
  </si>
  <si>
    <t>Cash from operations:</t>
  </si>
  <si>
    <t>Change in Accounts Receivable</t>
  </si>
  <si>
    <t>Change in Inventory</t>
  </si>
  <si>
    <t>Change in Prepaid Expenses</t>
  </si>
  <si>
    <t>Change in Accounts Payable</t>
  </si>
  <si>
    <t>Net Income</t>
  </si>
  <si>
    <t>Margin</t>
  </si>
  <si>
    <t>EBITDA, as Defined</t>
  </si>
  <si>
    <t xml:space="preserve">Interest </t>
  </si>
  <si>
    <t>Amortization</t>
  </si>
  <si>
    <t>Toal EBITDA Adjustments</t>
  </si>
  <si>
    <t>Assets</t>
  </si>
  <si>
    <t>Total long-term assets</t>
  </si>
  <si>
    <t>Total Assets</t>
  </si>
  <si>
    <t>Total Liabilities</t>
  </si>
  <si>
    <t>Total Liabilities and Shareholders' Equities</t>
  </si>
  <si>
    <t>Cash from Financing</t>
  </si>
  <si>
    <t xml:space="preserve">Cash from Investing </t>
  </si>
  <si>
    <t>Cash and equivalents, end of year</t>
  </si>
  <si>
    <t>Class A convertible — 305 and 305 shares outstanding</t>
  </si>
  <si>
    <t>Class B — 1,266 and 1,273 shares outstanding</t>
  </si>
  <si>
    <t>Error Checking</t>
  </si>
  <si>
    <t>Balance sheet doesn't balance</t>
  </si>
  <si>
    <t>Statement of Cash Flows doesn't match the Balance Sheet</t>
  </si>
  <si>
    <t>Tax Accrual schedule doesn't match the Balance Sheet</t>
  </si>
  <si>
    <t>Put all errors above this line</t>
  </si>
  <si>
    <t>Formatting Guide</t>
  </si>
  <si>
    <t>What it looks like</t>
  </si>
  <si>
    <t>What it means</t>
  </si>
  <si>
    <t>Blue font, no shading = hardcoded actual</t>
  </si>
  <si>
    <t>Black font, no shading = formula</t>
  </si>
  <si>
    <t>Bright yellow shading = work in progress</t>
  </si>
  <si>
    <t>Red font, no shading = error checking cell</t>
  </si>
  <si>
    <t>Gray shading = deliberately left blank</t>
  </si>
  <si>
    <t>Blue font, light yellow shading = input or assumption</t>
  </si>
  <si>
    <t>Green font, no shading = info comes from another tab or workbook</t>
  </si>
  <si>
    <t>Orange shading = unique formula or cell</t>
  </si>
  <si>
    <t>Error Check</t>
  </si>
  <si>
    <t>Change in Notes Payable, net</t>
  </si>
  <si>
    <t>Interest</t>
  </si>
  <si>
    <t>EBIT (Operating Income)</t>
  </si>
  <si>
    <t>SG&amp;A Expenses</t>
  </si>
  <si>
    <t xml:space="preserve">Depreciation </t>
  </si>
  <si>
    <t>From Income Statement</t>
  </si>
  <si>
    <t>From income statement</t>
  </si>
  <si>
    <t xml:space="preserve">Retained earnings </t>
  </si>
  <si>
    <t xml:space="preserve">Accumulated other comprehensive income </t>
  </si>
  <si>
    <t>Stepped Assumption: see note</t>
  </si>
  <si>
    <t>Gross Margin</t>
  </si>
  <si>
    <t>Revenue * Gross Maargin</t>
  </si>
  <si>
    <t>Revenue * Assumption</t>
  </si>
  <si>
    <t>Year over Year Growth</t>
  </si>
  <si>
    <t>Revenue - Gross Profit</t>
  </si>
  <si>
    <t>See note in Assumptions section</t>
  </si>
  <si>
    <t>26% of Total SG&amp;A</t>
  </si>
  <si>
    <t>74% of Total SG&amp;A</t>
  </si>
  <si>
    <t>Net Working Capital</t>
  </si>
  <si>
    <t>Days Sales Outstanding (DSO)</t>
  </si>
  <si>
    <t>(Avg AR / Current Revenue) * 365</t>
  </si>
  <si>
    <t>Days in Hand (DOH)</t>
  </si>
  <si>
    <t>Cost of Goods Sold</t>
  </si>
  <si>
    <t>(Avg Inventory / CoGS) * 365</t>
  </si>
  <si>
    <t>Days Payable Outstanding (DPO)</t>
  </si>
  <si>
    <t>(Avg Accounts Paayble / CoGS) * 365</t>
  </si>
  <si>
    <t>Balance/ Revenue</t>
  </si>
  <si>
    <t>Prepaid expenses as % of revenue</t>
  </si>
  <si>
    <t>Accrued liabilities as % of revenue</t>
  </si>
  <si>
    <t>Plus: Income tax expense</t>
  </si>
  <si>
    <t>Ending Balance</t>
  </si>
  <si>
    <t>Beginning Balance</t>
  </si>
  <si>
    <t>Check</t>
  </si>
  <si>
    <r>
      <t xml:space="preserve">Item </t>
    </r>
    <r>
      <rPr>
        <i/>
        <sz val="10"/>
        <color theme="1"/>
        <rFont val="Calibri"/>
        <family val="2"/>
      </rPr>
      <t>(in millions)</t>
    </r>
  </si>
  <si>
    <t>Less: Income tax payments</t>
  </si>
  <si>
    <t>Beginning balance</t>
  </si>
  <si>
    <t>Plus: Capex</t>
  </si>
  <si>
    <t>Less: Depriciation</t>
  </si>
  <si>
    <t>Fx &amp; Other Adjustments</t>
  </si>
  <si>
    <t>PP&amp;E Schedule</t>
  </si>
  <si>
    <t>Historical average Capex</t>
  </si>
  <si>
    <t>CapEx Forecast</t>
  </si>
  <si>
    <t>Total CapEx</t>
  </si>
  <si>
    <t>From Statement of Cash Flows</t>
  </si>
  <si>
    <t>Type in manually</t>
  </si>
  <si>
    <t>Depreciation Schedule</t>
  </si>
  <si>
    <t>Capex</t>
  </si>
  <si>
    <t>Useful Life</t>
  </si>
  <si>
    <t>Salvage Value</t>
  </si>
  <si>
    <t>Total Forecast Depreciation</t>
  </si>
  <si>
    <t>Plus: Existing depriciation</t>
  </si>
  <si>
    <t>Total Depriciation</t>
  </si>
  <si>
    <t>Previous Period - Current Period</t>
  </si>
  <si>
    <t>Current Period - Previous Period</t>
  </si>
  <si>
    <t>Debt Schedule</t>
  </si>
  <si>
    <t>Interest Expense</t>
  </si>
  <si>
    <t>Beginning Balance x Interest Rate</t>
  </si>
  <si>
    <t>Term Debt</t>
  </si>
  <si>
    <t>Less: Principal Payments</t>
  </si>
  <si>
    <t>See PP&amp;E Schedule</t>
  </si>
  <si>
    <t>PP&amp;E Schedule doesn't match Balance Sheet</t>
  </si>
  <si>
    <t>CapEx Forecast doesn't match Statement of Cash Flows</t>
  </si>
  <si>
    <t>Depriciation Schedule doesn't match Balance Sheet</t>
  </si>
  <si>
    <t>Maturity Schedule</t>
  </si>
  <si>
    <t>2.40% due Mar 2025</t>
  </si>
  <si>
    <t>2.38% due Nov 2026</t>
  </si>
  <si>
    <t>2.75% due Mar 2027</t>
  </si>
  <si>
    <t>Total Maturities</t>
  </si>
  <si>
    <t>Capital Expansion Project</t>
  </si>
  <si>
    <t>2.75% due Mar 2028</t>
  </si>
  <si>
    <t>2.75% due Mar 2029</t>
  </si>
  <si>
    <t>Term Debt doesn't match Balance Sheet</t>
  </si>
  <si>
    <t>Maturity Schedule doesn't match Term Debt</t>
  </si>
  <si>
    <t>Held Flat for Forecast</t>
  </si>
  <si>
    <t>Prior year - Amortization</t>
  </si>
  <si>
    <t>1% growth per year</t>
  </si>
  <si>
    <t>See Maturity Debt Schedule</t>
  </si>
  <si>
    <t>Held Flat for forecast</t>
  </si>
  <si>
    <t>Percent of Operating Income</t>
  </si>
  <si>
    <t>See Networking Capital Schedule</t>
  </si>
  <si>
    <t>Taxes Payable</t>
  </si>
  <si>
    <t>See Taxes Payable Schedule</t>
  </si>
  <si>
    <t>See Term Debt Schedule</t>
  </si>
  <si>
    <t>Total Cash from Operations</t>
  </si>
  <si>
    <t xml:space="preserve">Total Cash from Investing </t>
  </si>
  <si>
    <t>Previous Period - Current Period - Depreciation</t>
  </si>
  <si>
    <t xml:space="preserve">Total Cash from Financing </t>
  </si>
  <si>
    <t>Straight Line Depreciation</t>
  </si>
  <si>
    <t>See Depriciation Schedule</t>
  </si>
  <si>
    <t>Both Actual and Forecast pulled from 10K form</t>
  </si>
  <si>
    <t>See Maturity Schedule</t>
  </si>
  <si>
    <t>Previous Period + Net Income- Depriciation (See note)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</si>
</sst>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5" formatCode="&quot;$&quot;#,##0_);\(&quot;$&quot;#,##0\)"/>
    <numFmt numFmtId="44" formatCode="_(&quot;$&quot;* #,##0.00_);_(&quot;$&quot;* \(#,##0.00\);_(&quot;$&quot;* &quot;-&quot;??_);_(@_)"/>
    <numFmt numFmtId="164" formatCode="&quot;$&quot;#,##0"/>
    <numFmt numFmtId="165" formatCode="0.0%"/>
    <numFmt numFmtId="166" formatCode="0.0"/>
    <numFmt numFmtId="167" formatCode="0.0_);\(0.0\)"/>
  </numFmts>
  <fonts count="3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theme="1"/>
      <name val="Calibri"/>
      <family val="2"/>
    </font>
    <font>
      <u val="singleAccounting"/>
      <sz val="10"/>
      <color theme="1"/>
      <name val="Calibri"/>
      <family val="2"/>
    </font>
    <font>
      <sz val="11"/>
      <color theme="1"/>
      <name val="Calibri"/>
      <family val="2"/>
    </font>
    <font>
      <u val="singleAccounting"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432FF"/>
      <name val="Calibri"/>
      <family val="2"/>
    </font>
    <font>
      <b/>
      <sz val="11"/>
      <color rgb="FF0432FF"/>
      <name val="Calibri"/>
      <family val="2"/>
    </font>
    <font>
      <b/>
      <i/>
      <sz val="11"/>
      <color theme="1"/>
      <name val="Calibri"/>
      <family val="2"/>
    </font>
    <font>
      <i/>
      <sz val="11"/>
      <color theme="1"/>
      <name val="Calibri"/>
      <family val="2"/>
    </font>
    <font>
      <i/>
      <sz val="10"/>
      <color theme="1"/>
      <name val="Calibri"/>
      <family val="2"/>
    </font>
    <font>
      <b/>
      <u val="singleAccounting"/>
      <sz val="10"/>
      <color theme="1"/>
      <name val="Calibri"/>
      <family val="2"/>
    </font>
    <font>
      <sz val="10"/>
      <color rgb="FFFF0000"/>
      <name val="Calibri"/>
      <family val="2"/>
    </font>
    <font>
      <sz val="10"/>
      <color rgb="FF0000FF"/>
      <name val="Calibri"/>
      <family val="2"/>
    </font>
    <font>
      <sz val="10"/>
      <name val="Calibri"/>
      <family val="2"/>
    </font>
    <font>
      <sz val="10"/>
      <color rgb="FF006600"/>
      <name val="Calibri"/>
      <family val="2"/>
    </font>
    <font>
      <sz val="10"/>
      <color rgb="FF000000"/>
      <name val="Tahoma"/>
      <family val="2"/>
    </font>
    <font>
      <i/>
      <sz val="11"/>
      <color rgb="FF000000"/>
      <name val="Calibri"/>
      <family val="2"/>
    </font>
    <font>
      <sz val="8"/>
      <name val="Aptos Narrow"/>
      <family val="2"/>
      <scheme val="minor"/>
    </font>
    <font>
      <sz val="11"/>
      <color theme="2"/>
      <name val="Calibri"/>
      <family val="2"/>
    </font>
    <font>
      <b/>
      <sz val="12"/>
      <color theme="1"/>
      <name val="Aptos Narrow"/>
      <family val="2"/>
      <scheme val="minor"/>
    </font>
    <font>
      <b/>
      <u val="singleAccounting"/>
      <sz val="11"/>
      <color theme="1"/>
      <name val="Calibri"/>
      <family val="2"/>
    </font>
    <font>
      <sz val="11"/>
      <color rgb="FFFF0000"/>
      <name val="Calibri"/>
      <family val="2"/>
    </font>
    <font>
      <sz val="11"/>
      <color rgb="FF0000FF"/>
      <name val="Calibri"/>
      <family val="2"/>
    </font>
    <font>
      <sz val="10"/>
      <color rgb="FF0432FF"/>
      <name val="Calibri"/>
      <family val="2"/>
    </font>
    <font>
      <sz val="12"/>
      <color theme="1"/>
      <name val="Aptos Narrow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0E6F5"/>
        <bgColor rgb="FF000000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2" borderId="0" applyNumberFormat="0" applyBorder="0" applyAlignment="0" applyProtection="0"/>
  </cellStyleXfs>
  <cellXfs count="127">
    <xf numFmtId="0" fontId="0" fillId="0" borderId="0" xfId="0"/>
    <xf numFmtId="0" fontId="0" fillId="0" borderId="1" xfId="0" applyBorder="1"/>
    <xf numFmtId="0" fontId="0" fillId="3" borderId="0" xfId="0" applyFill="1"/>
    <xf numFmtId="0" fontId="4" fillId="0" borderId="0" xfId="0" applyFont="1"/>
    <xf numFmtId="0" fontId="6" fillId="0" borderId="0" xfId="0" applyFont="1"/>
    <xf numFmtId="0" fontId="4" fillId="0" borderId="1" xfId="0" applyFont="1" applyBorder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indent="1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indent="1"/>
    </xf>
    <xf numFmtId="0" fontId="6" fillId="0" borderId="1" xfId="0" applyFont="1" applyBorder="1"/>
    <xf numFmtId="0" fontId="7" fillId="0" borderId="0" xfId="0" applyFont="1"/>
    <xf numFmtId="0" fontId="8" fillId="0" borderId="0" xfId="0" applyFont="1"/>
    <xf numFmtId="0" fontId="7" fillId="0" borderId="0" xfId="0" applyFont="1" applyAlignment="1">
      <alignment horizontal="left"/>
    </xf>
    <xf numFmtId="0" fontId="7" fillId="0" borderId="0" xfId="0" applyFont="1" applyAlignment="1">
      <alignment horizontal="left" indent="1"/>
    </xf>
    <xf numFmtId="0" fontId="7" fillId="0" borderId="1" xfId="0" applyFont="1" applyBorder="1" applyAlignment="1">
      <alignment horizontal="left"/>
    </xf>
    <xf numFmtId="0" fontId="8" fillId="0" borderId="1" xfId="0" applyFont="1" applyBorder="1"/>
    <xf numFmtId="0" fontId="7" fillId="0" borderId="1" xfId="0" applyFont="1" applyBorder="1"/>
    <xf numFmtId="3" fontId="7" fillId="0" borderId="0" xfId="0" applyNumberFormat="1" applyFont="1"/>
    <xf numFmtId="3" fontId="7" fillId="0" borderId="1" xfId="0" applyNumberFormat="1" applyFont="1" applyBorder="1"/>
    <xf numFmtId="164" fontId="4" fillId="0" borderId="0" xfId="1" applyNumberFormat="1" applyFont="1"/>
    <xf numFmtId="164" fontId="4" fillId="0" borderId="1" xfId="1" applyNumberFormat="1" applyFont="1" applyBorder="1"/>
    <xf numFmtId="0" fontId="6" fillId="2" borderId="0" xfId="3" applyFont="1" applyBorder="1"/>
    <xf numFmtId="0" fontId="4" fillId="2" borderId="0" xfId="3" applyFont="1" applyBorder="1"/>
    <xf numFmtId="0" fontId="11" fillId="0" borderId="0" xfId="0" applyFont="1"/>
    <xf numFmtId="0" fontId="4" fillId="0" borderId="2" xfId="0" applyFont="1" applyBorder="1" applyAlignment="1">
      <alignment horizontal="left" indent="1"/>
    </xf>
    <xf numFmtId="164" fontId="4" fillId="2" borderId="0" xfId="3" applyNumberFormat="1" applyFont="1" applyBorder="1"/>
    <xf numFmtId="5" fontId="9" fillId="0" borderId="0" xfId="1" applyNumberFormat="1" applyFont="1"/>
    <xf numFmtId="5" fontId="9" fillId="0" borderId="1" xfId="1" applyNumberFormat="1" applyFont="1" applyBorder="1"/>
    <xf numFmtId="5" fontId="10" fillId="0" borderId="0" xfId="1" applyNumberFormat="1" applyFont="1" applyBorder="1"/>
    <xf numFmtId="5" fontId="10" fillId="0" borderId="1" xfId="1" applyNumberFormat="1" applyFont="1" applyBorder="1"/>
    <xf numFmtId="5" fontId="4" fillId="2" borderId="0" xfId="3" applyNumberFormat="1" applyFont="1" applyBorder="1"/>
    <xf numFmtId="5" fontId="9" fillId="0" borderId="0" xfId="1" applyNumberFormat="1" applyFont="1" applyBorder="1"/>
    <xf numFmtId="5" fontId="9" fillId="2" borderId="0" xfId="1" applyNumberFormat="1" applyFont="1" applyFill="1" applyBorder="1"/>
    <xf numFmtId="5" fontId="10" fillId="0" borderId="0" xfId="1" applyNumberFormat="1" applyFont="1"/>
    <xf numFmtId="5" fontId="9" fillId="0" borderId="0" xfId="1" applyNumberFormat="1" applyFont="1" applyFill="1"/>
    <xf numFmtId="5" fontId="4" fillId="0" borderId="0" xfId="0" applyNumberFormat="1" applyFont="1"/>
    <xf numFmtId="0" fontId="12" fillId="0" borderId="0" xfId="0" applyFont="1"/>
    <xf numFmtId="5" fontId="4" fillId="0" borderId="0" xfId="1" applyNumberFormat="1" applyFont="1"/>
    <xf numFmtId="5" fontId="4" fillId="0" borderId="1" xfId="1" applyNumberFormat="1" applyFont="1" applyBorder="1"/>
    <xf numFmtId="165" fontId="9" fillId="0" borderId="0" xfId="2" applyNumberFormat="1" applyFont="1" applyBorder="1"/>
    <xf numFmtId="165" fontId="11" fillId="0" borderId="0" xfId="2" applyNumberFormat="1" applyFont="1" applyBorder="1"/>
    <xf numFmtId="165" fontId="12" fillId="0" borderId="1" xfId="2" applyNumberFormat="1" applyFont="1" applyBorder="1" applyAlignment="1">
      <alignment horizontal="right" indent="1"/>
    </xf>
    <xf numFmtId="0" fontId="4" fillId="0" borderId="0" xfId="0" applyFont="1" applyAlignment="1">
      <alignment horizontal="center"/>
    </xf>
    <xf numFmtId="0" fontId="14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5" fontId="15" fillId="0" borderId="3" xfId="0" applyNumberFormat="1" applyFont="1" applyBorder="1"/>
    <xf numFmtId="5" fontId="16" fillId="0" borderId="0" xfId="0" applyNumberFormat="1" applyFont="1"/>
    <xf numFmtId="5" fontId="17" fillId="0" borderId="0" xfId="0" applyNumberFormat="1" applyFont="1"/>
    <xf numFmtId="5" fontId="15" fillId="0" borderId="0" xfId="0" applyNumberFormat="1" applyFont="1"/>
    <xf numFmtId="0" fontId="0" fillId="5" borderId="0" xfId="0" applyFill="1"/>
    <xf numFmtId="5" fontId="16" fillId="6" borderId="3" xfId="2" applyNumberFormat="1" applyFont="1" applyFill="1" applyBorder="1" applyAlignment="1">
      <alignment horizontal="right"/>
    </xf>
    <xf numFmtId="5" fontId="18" fillId="0" borderId="0" xfId="0" applyNumberFormat="1" applyFont="1"/>
    <xf numFmtId="5" fontId="2" fillId="7" borderId="0" xfId="0" applyNumberFormat="1" applyFont="1" applyFill="1"/>
    <xf numFmtId="5" fontId="9" fillId="0" borderId="0" xfId="1" applyNumberFormat="1" applyFont="1" applyFill="1" applyBorder="1"/>
    <xf numFmtId="5" fontId="4" fillId="0" borderId="0" xfId="1" applyNumberFormat="1" applyFont="1" applyBorder="1"/>
    <xf numFmtId="0" fontId="12" fillId="0" borderId="0" xfId="0" applyFont="1" applyAlignment="1">
      <alignment horizontal="left"/>
    </xf>
    <xf numFmtId="0" fontId="6" fillId="0" borderId="2" xfId="0" applyFont="1" applyBorder="1" applyAlignment="1">
      <alignment horizontal="left"/>
    </xf>
    <xf numFmtId="0" fontId="11" fillId="0" borderId="0" xfId="0" applyFont="1" applyAlignment="1">
      <alignment horizontal="left"/>
    </xf>
    <xf numFmtId="0" fontId="20" fillId="0" borderId="0" xfId="0" applyFont="1"/>
    <xf numFmtId="165" fontId="16" fillId="6" borderId="3" xfId="2" applyNumberFormat="1" applyFont="1" applyFill="1" applyBorder="1" applyAlignment="1">
      <alignment horizontal="center"/>
    </xf>
    <xf numFmtId="5" fontId="4" fillId="0" borderId="1" xfId="0" applyNumberFormat="1" applyFont="1" applyBorder="1"/>
    <xf numFmtId="0" fontId="12" fillId="0" borderId="1" xfId="0" applyFont="1" applyBorder="1"/>
    <xf numFmtId="9" fontId="4" fillId="0" borderId="1" xfId="2" applyFont="1" applyBorder="1" applyAlignment="1">
      <alignment horizontal="left" indent="1"/>
    </xf>
    <xf numFmtId="9" fontId="4" fillId="0" borderId="0" xfId="2" applyFont="1"/>
    <xf numFmtId="165" fontId="12" fillId="0" borderId="0" xfId="2" applyNumberFormat="1" applyFont="1"/>
    <xf numFmtId="165" fontId="12" fillId="0" borderId="0" xfId="0" applyNumberFormat="1" applyFont="1"/>
    <xf numFmtId="165" fontId="12" fillId="0" borderId="1" xfId="2" applyNumberFormat="1" applyFont="1" applyBorder="1"/>
    <xf numFmtId="0" fontId="12" fillId="4" borderId="0" xfId="0" applyFont="1" applyFill="1"/>
    <xf numFmtId="0" fontId="12" fillId="4" borderId="1" xfId="0" applyFont="1" applyFill="1" applyBorder="1"/>
    <xf numFmtId="5" fontId="6" fillId="0" borderId="1" xfId="1" applyNumberFormat="1" applyFont="1" applyBorder="1"/>
    <xf numFmtId="165" fontId="11" fillId="0" borderId="1" xfId="2" applyNumberFormat="1" applyFont="1" applyBorder="1"/>
    <xf numFmtId="166" fontId="4" fillId="0" borderId="0" xfId="0" applyNumberFormat="1" applyFont="1"/>
    <xf numFmtId="0" fontId="22" fillId="4" borderId="0" xfId="0" applyFont="1" applyFill="1"/>
    <xf numFmtId="164" fontId="4" fillId="0" borderId="0" xfId="0" applyNumberFormat="1" applyFont="1"/>
    <xf numFmtId="9" fontId="12" fillId="0" borderId="0" xfId="2" applyFont="1"/>
    <xf numFmtId="10" fontId="9" fillId="0" borderId="0" xfId="2" applyNumberFormat="1" applyFont="1" applyAlignment="1">
      <alignment horizontal="center"/>
    </xf>
    <xf numFmtId="165" fontId="12" fillId="0" borderId="2" xfId="2" applyNumberFormat="1" applyFont="1" applyBorder="1"/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 indent="1"/>
    </xf>
    <xf numFmtId="5" fontId="25" fillId="0" borderId="0" xfId="0" applyNumberFormat="1" applyFont="1"/>
    <xf numFmtId="165" fontId="16" fillId="7" borderId="3" xfId="2" applyNumberFormat="1" applyFont="1" applyFill="1" applyBorder="1" applyAlignment="1">
      <alignment horizontal="center"/>
    </xf>
    <xf numFmtId="166" fontId="4" fillId="6" borderId="3" xfId="2" applyNumberFormat="1" applyFont="1" applyFill="1" applyBorder="1" applyAlignment="1">
      <alignment horizontal="right"/>
    </xf>
    <xf numFmtId="165" fontId="12" fillId="6" borderId="3" xfId="2" applyNumberFormat="1" applyFont="1" applyFill="1" applyBorder="1" applyAlignment="1">
      <alignment horizontal="right"/>
    </xf>
    <xf numFmtId="165" fontId="12" fillId="0" borderId="0" xfId="2" applyNumberFormat="1" applyFont="1" applyBorder="1"/>
    <xf numFmtId="164" fontId="9" fillId="0" borderId="0" xfId="1" applyNumberFormat="1" applyFont="1"/>
    <xf numFmtId="5" fontId="16" fillId="6" borderId="3" xfId="2" applyNumberFormat="1" applyFont="1" applyFill="1" applyBorder="1" applyAlignment="1">
      <alignment horizontal="center"/>
    </xf>
    <xf numFmtId="0" fontId="4" fillId="4" borderId="0" xfId="0" applyFont="1" applyFill="1"/>
    <xf numFmtId="0" fontId="0" fillId="4" borderId="0" xfId="0" applyFill="1"/>
    <xf numFmtId="164" fontId="2" fillId="6" borderId="3" xfId="1" applyNumberFormat="1" applyFont="1" applyFill="1" applyBorder="1" applyAlignment="1">
      <alignment horizontal="right"/>
    </xf>
    <xf numFmtId="165" fontId="12" fillId="0" borderId="0" xfId="2" applyNumberFormat="1" applyFont="1" applyFill="1"/>
    <xf numFmtId="167" fontId="26" fillId="6" borderId="3" xfId="2" applyNumberFormat="1" applyFont="1" applyFill="1" applyBorder="1" applyAlignment="1">
      <alignment horizontal="center"/>
    </xf>
    <xf numFmtId="14" fontId="4" fillId="0" borderId="0" xfId="0" applyNumberFormat="1" applyFont="1" applyAlignment="1">
      <alignment horizontal="left" indent="1"/>
    </xf>
    <xf numFmtId="0" fontId="6" fillId="8" borderId="0" xfId="0" applyFont="1" applyFill="1"/>
    <xf numFmtId="165" fontId="26" fillId="6" borderId="3" xfId="0" applyNumberFormat="1" applyFont="1" applyFill="1" applyBorder="1" applyAlignment="1">
      <alignment horizontal="center"/>
    </xf>
    <xf numFmtId="5" fontId="4" fillId="0" borderId="0" xfId="1" applyNumberFormat="1" applyFont="1" applyFill="1"/>
    <xf numFmtId="164" fontId="4" fillId="4" borderId="0" xfId="1" applyNumberFormat="1" applyFont="1" applyFill="1"/>
    <xf numFmtId="5" fontId="4" fillId="4" borderId="0" xfId="1" applyNumberFormat="1" applyFont="1" applyFill="1"/>
    <xf numFmtId="0" fontId="8" fillId="9" borderId="0" xfId="0" applyFont="1" applyFill="1"/>
    <xf numFmtId="5" fontId="15" fillId="0" borderId="1" xfId="0" applyNumberFormat="1" applyFont="1" applyBorder="1"/>
    <xf numFmtId="164" fontId="27" fillId="6" borderId="3" xfId="1" applyNumberFormat="1" applyFont="1" applyFill="1" applyBorder="1" applyAlignment="1">
      <alignment horizontal="right"/>
    </xf>
    <xf numFmtId="164" fontId="4" fillId="0" borderId="1" xfId="0" applyNumberFormat="1" applyFont="1" applyBorder="1"/>
    <xf numFmtId="5" fontId="9" fillId="0" borderId="0" xfId="0" applyNumberFormat="1" applyFont="1"/>
    <xf numFmtId="0" fontId="23" fillId="0" borderId="1" xfId="0" applyFont="1" applyBorder="1"/>
    <xf numFmtId="0" fontId="28" fillId="0" borderId="1" xfId="0" applyFont="1" applyBorder="1"/>
    <xf numFmtId="5" fontId="4" fillId="0" borderId="2" xfId="1" applyNumberFormat="1" applyFont="1" applyBorder="1" applyAlignment="1">
      <alignment horizontal="right"/>
    </xf>
    <xf numFmtId="5" fontId="4" fillId="0" borderId="1" xfId="0" applyNumberFormat="1" applyFont="1" applyBorder="1" applyAlignment="1">
      <alignment horizontal="right" indent="1"/>
    </xf>
    <xf numFmtId="5" fontId="4" fillId="0" borderId="1" xfId="1" applyNumberFormat="1" applyFont="1" applyBorder="1" applyAlignment="1">
      <alignment horizontal="right"/>
    </xf>
    <xf numFmtId="5" fontId="9" fillId="0" borderId="0" xfId="1" applyNumberFormat="1" applyFont="1" applyAlignment="1">
      <alignment horizontal="right"/>
    </xf>
    <xf numFmtId="5" fontId="9" fillId="0" borderId="0" xfId="1" applyNumberFormat="1" applyFont="1" applyFill="1" applyAlignment="1">
      <alignment horizontal="right"/>
    </xf>
    <xf numFmtId="5" fontId="4" fillId="0" borderId="0" xfId="1" applyNumberFormat="1" applyFont="1" applyAlignment="1">
      <alignment horizontal="right"/>
    </xf>
    <xf numFmtId="14" fontId="5" fillId="0" borderId="0" xfId="0" applyNumberFormat="1" applyFont="1" applyAlignment="1">
      <alignment horizontal="center"/>
    </xf>
    <xf numFmtId="0" fontId="24" fillId="0" borderId="0" xfId="0" applyFont="1" applyAlignment="1">
      <alignment horizontal="center"/>
    </xf>
    <xf numFmtId="0" fontId="29" fillId="0" borderId="1" xfId="0" applyFont="1" applyBorder="1"/>
    <xf numFmtId="0" fontId="4" fillId="0" borderId="0" xfId="0" applyFont="1" applyFill="1"/>
    <xf numFmtId="0" fontId="30" fillId="0" borderId="0" xfId="0" applyFont="1"/>
    <xf numFmtId="5" fontId="4" fillId="0" borderId="1" xfId="0" applyNumberFormat="1" applyFont="1" applyBorder="1" applyAlignment="1">
      <alignment horizontal="right"/>
    </xf>
    <xf numFmtId="0" fontId="7" fillId="0" borderId="0" xfId="0" applyFont="1" applyFill="1" applyAlignment="1">
      <alignment horizontal="left" indent="1"/>
    </xf>
    <xf numFmtId="5" fontId="4" fillId="0" borderId="0" xfId="0" applyNumberFormat="1" applyFont="1" applyFill="1"/>
    <xf numFmtId="0" fontId="23" fillId="0" borderId="0" xfId="0" applyFont="1" applyBorder="1"/>
    <xf numFmtId="164" fontId="28" fillId="0" borderId="0" xfId="0" applyNumberFormat="1" applyFont="1" applyBorder="1"/>
    <xf numFmtId="0" fontId="23" fillId="4" borderId="4" xfId="0" applyFont="1" applyFill="1" applyBorder="1"/>
    <xf numFmtId="164" fontId="4" fillId="4" borderId="0" xfId="0" applyNumberFormat="1" applyFont="1" applyFill="1"/>
    <xf numFmtId="164" fontId="4" fillId="4" borderId="1" xfId="0" applyNumberFormat="1" applyFont="1" applyFill="1" applyBorder="1"/>
    <xf numFmtId="164" fontId="4" fillId="0" borderId="0" xfId="0" applyNumberFormat="1" applyFont="1" applyFill="1"/>
    <xf numFmtId="0" fontId="12" fillId="7" borderId="0" xfId="0" applyFont="1" applyFill="1"/>
    <xf numFmtId="165" fontId="12" fillId="4" borderId="0" xfId="2" applyNumberFormat="1" applyFont="1" applyFill="1"/>
  </cellXfs>
  <cellStyles count="4">
    <cellStyle name="20% - Accent1" xfId="3" builtinId="30"/>
    <cellStyle name="Currency" xfId="1" builtinId="4"/>
    <cellStyle name="Normal" xfId="0" builtinId="0"/>
    <cellStyle name="Percent" xfId="2" builtinId="5"/>
  </cellStyles>
  <dxfs count="6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hris Reilly" id="{6AFDE153-327F-F041-818C-B6946312678E}" userId="S::chris@missioncapitalco.com::f771c55d-2fee-4605-b3e7-0e4fbe62034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6" dT="2023-06-28T17:13:43.94" personId="{6AFDE153-327F-F041-818C-B6946312678E}" id="{257B6AC6-639B-264A-BA2B-967968B34174}">
    <text>Each cell will contain an explainer comment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EF31A-A74A-1C45-BBF1-3C2D4096316D}">
  <dimension ref="A2:Z206"/>
  <sheetViews>
    <sheetView tabSelected="1" zoomScale="83" workbookViewId="0">
      <pane xSplit="1" ySplit="7" topLeftCell="C65" activePane="bottomRight" state="frozen"/>
      <selection pane="topRight" activeCell="B1" sqref="B1"/>
      <selection pane="bottomLeft" activeCell="A9" sqref="A9"/>
      <selection pane="bottomRight" activeCell="I90" sqref="I90"/>
    </sheetView>
  </sheetViews>
  <sheetFormatPr baseColWidth="10" defaultRowHeight="15" x14ac:dyDescent="0.2"/>
  <cols>
    <col min="1" max="1" width="61.5" style="3" bestFit="1" customWidth="1"/>
    <col min="2" max="2" width="19.5" style="3" customWidth="1"/>
    <col min="3" max="3" width="12.83203125" style="3" customWidth="1"/>
    <col min="4" max="5" width="11.83203125" style="3" bestFit="1" customWidth="1"/>
    <col min="6" max="6" width="42.1640625" style="3" bestFit="1" customWidth="1"/>
    <col min="7" max="7" width="9" style="3" customWidth="1"/>
    <col min="8" max="8" width="20.5" style="3" customWidth="1"/>
    <col min="9" max="9" width="13.5" style="3" customWidth="1"/>
    <col min="10" max="11" width="13.5" style="3" bestFit="1" customWidth="1"/>
    <col min="12" max="16" width="12.1640625" style="3" bestFit="1" customWidth="1"/>
    <col min="17" max="16384" width="10.83203125" style="3"/>
  </cols>
  <sheetData>
    <row r="2" spans="1:23" ht="18" x14ac:dyDescent="0.35">
      <c r="A2" s="111" t="s">
        <v>14</v>
      </c>
      <c r="B2" s="111"/>
      <c r="C2" s="111"/>
      <c r="D2" s="111"/>
      <c r="E2" s="111"/>
      <c r="F2" s="111"/>
      <c r="G2" s="111"/>
    </row>
    <row r="3" spans="1:23" ht="26" customHeight="1" x14ac:dyDescent="0.35">
      <c r="R3" s="112" t="s">
        <v>119</v>
      </c>
      <c r="S3" s="112"/>
      <c r="T3" s="112"/>
      <c r="U3" s="112"/>
      <c r="V3" s="112"/>
      <c r="W3" s="112"/>
    </row>
    <row r="4" spans="1:23" x14ac:dyDescent="0.2">
      <c r="H4" s="3" t="s">
        <v>13</v>
      </c>
      <c r="I4" s="78" t="s">
        <v>46</v>
      </c>
      <c r="J4" s="78" t="s">
        <v>46</v>
      </c>
      <c r="K4" s="78" t="s">
        <v>46</v>
      </c>
      <c r="L4" s="78" t="s">
        <v>47</v>
      </c>
      <c r="M4" s="78" t="s">
        <v>47</v>
      </c>
      <c r="N4" s="78" t="s">
        <v>47</v>
      </c>
      <c r="O4" s="78" t="s">
        <v>47</v>
      </c>
      <c r="P4" s="78" t="s">
        <v>47</v>
      </c>
      <c r="R4" s="78" t="str">
        <f>K4</f>
        <v>Actual</v>
      </c>
      <c r="S4" s="78" t="str" cm="1">
        <f t="array" ref="S4:W4">L4:P4</f>
        <v>Forecast</v>
      </c>
      <c r="T4" s="78" t="str">
        <v>Forecast</v>
      </c>
      <c r="U4" s="78" t="str">
        <v>Forecast</v>
      </c>
      <c r="V4" s="79" t="str">
        <v>Forecast</v>
      </c>
      <c r="W4" s="79" t="str">
        <v>Forecast</v>
      </c>
    </row>
    <row r="5" spans="1:23" x14ac:dyDescent="0.2">
      <c r="A5" s="4" t="s">
        <v>10</v>
      </c>
      <c r="B5" s="46">
        <f>'Control Panel'!B4</f>
        <v>0</v>
      </c>
      <c r="H5" s="3" t="s">
        <v>9</v>
      </c>
      <c r="I5" s="3" cm="1">
        <f t="array" ref="I5:P5">_xlfn.SEQUENCE(,8,"2022")</f>
        <v>2022</v>
      </c>
      <c r="J5" s="3">
        <v>2023</v>
      </c>
      <c r="K5" s="3">
        <v>2024</v>
      </c>
      <c r="L5" s="3">
        <v>2025</v>
      </c>
      <c r="M5" s="3">
        <v>2026</v>
      </c>
      <c r="N5" s="3">
        <v>2027</v>
      </c>
      <c r="O5" s="3">
        <v>2028</v>
      </c>
      <c r="P5" s="3">
        <v>2029</v>
      </c>
      <c r="R5" s="11">
        <v>2024</v>
      </c>
      <c r="S5" s="11">
        <v>2025</v>
      </c>
      <c r="T5" s="11">
        <v>2026</v>
      </c>
      <c r="U5" s="11">
        <v>2027</v>
      </c>
      <c r="V5" s="11">
        <v>2028</v>
      </c>
      <c r="W5" s="11">
        <v>2029</v>
      </c>
    </row>
    <row r="6" spans="1:23" x14ac:dyDescent="0.2">
      <c r="A6" s="4" t="s">
        <v>139</v>
      </c>
      <c r="B6" s="4" t="s">
        <v>12</v>
      </c>
      <c r="F6" s="4" t="s">
        <v>11</v>
      </c>
    </row>
    <row r="7" spans="1:23" x14ac:dyDescent="0.2">
      <c r="A7" s="22" t="s">
        <v>0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R7" s="23"/>
      <c r="S7" s="23"/>
      <c r="T7" s="23"/>
      <c r="U7" s="23"/>
      <c r="V7" s="23"/>
      <c r="W7" s="23"/>
    </row>
    <row r="8" spans="1:23" x14ac:dyDescent="0.2">
      <c r="A8" s="3" t="s">
        <v>1</v>
      </c>
      <c r="B8" s="81" t="s">
        <v>115</v>
      </c>
      <c r="F8" s="37" t="s">
        <v>121</v>
      </c>
      <c r="I8" s="27">
        <v>46710</v>
      </c>
      <c r="J8" s="27">
        <v>51217</v>
      </c>
      <c r="K8" s="27">
        <v>51362</v>
      </c>
      <c r="L8" s="36">
        <f>K8*(1+0.5%)</f>
        <v>51618.81</v>
      </c>
      <c r="M8" s="36">
        <f>L8*(1+2%)</f>
        <v>52651.186199999996</v>
      </c>
      <c r="N8" s="36">
        <f>M8*(1+4%)</f>
        <v>54757.233648000001</v>
      </c>
      <c r="O8" s="36">
        <f>N8*(1+5%)</f>
        <v>57495.095330400007</v>
      </c>
      <c r="P8" s="36">
        <f>O8*(1+6%)</f>
        <v>60944.801050224007</v>
      </c>
      <c r="R8" s="65">
        <f>IFERROR((K8/J8)-1,0)</f>
        <v>2.8310912392370824E-3</v>
      </c>
      <c r="S8" s="65">
        <f t="shared" ref="S8:W9" si="0">IFERROR((L8/K8)-1,0)</f>
        <v>4.9999999999998934E-3</v>
      </c>
      <c r="T8" s="65">
        <f t="shared" si="0"/>
        <v>2.0000000000000018E-2</v>
      </c>
      <c r="U8" s="65">
        <f t="shared" si="0"/>
        <v>4.0000000000000036E-2</v>
      </c>
      <c r="V8" s="65">
        <f t="shared" si="0"/>
        <v>5.0000000000000044E-2</v>
      </c>
      <c r="W8" s="65">
        <f t="shared" si="0"/>
        <v>6.0000000000000053E-2</v>
      </c>
    </row>
    <row r="9" spans="1:23" x14ac:dyDescent="0.2">
      <c r="A9" s="6" t="s">
        <v>128</v>
      </c>
      <c r="B9" s="6"/>
      <c r="C9" s="6"/>
      <c r="F9" s="37" t="s">
        <v>120</v>
      </c>
      <c r="I9" s="27">
        <v>25231</v>
      </c>
      <c r="J9" s="27">
        <v>28925</v>
      </c>
      <c r="K9" s="27">
        <v>28475</v>
      </c>
      <c r="L9" s="36">
        <f>L8-L10</f>
        <v>29422.721699999998</v>
      </c>
      <c r="M9" s="36">
        <f t="shared" ref="M9:P9" si="1">M8-M10</f>
        <v>30011.176133999998</v>
      </c>
      <c r="N9" s="36">
        <f t="shared" si="1"/>
        <v>31211.623179360002</v>
      </c>
      <c r="O9" s="36">
        <f t="shared" si="1"/>
        <v>32772.204338328003</v>
      </c>
      <c r="P9" s="36">
        <f t="shared" si="1"/>
        <v>34738.536598627688</v>
      </c>
      <c r="R9" s="65">
        <f>IFERROR((K9/J9)-1,0)</f>
        <v>-1.5557476231633505E-2</v>
      </c>
      <c r="S9" s="65">
        <f t="shared" si="0"/>
        <v>3.3282588235294064E-2</v>
      </c>
      <c r="T9" s="65">
        <f t="shared" si="0"/>
        <v>2.0000000000000018E-2</v>
      </c>
      <c r="U9" s="65">
        <f t="shared" si="0"/>
        <v>4.0000000000000036E-2</v>
      </c>
      <c r="V9" s="65">
        <f t="shared" si="0"/>
        <v>5.0000000000000044E-2</v>
      </c>
      <c r="W9" s="65">
        <f t="shared" si="0"/>
        <v>6.0000000000000053E-2</v>
      </c>
    </row>
    <row r="10" spans="1:23" ht="16" x14ac:dyDescent="0.2">
      <c r="A10" s="8" t="s">
        <v>2</v>
      </c>
      <c r="B10"/>
      <c r="C10" s="9"/>
      <c r="D10" s="5"/>
      <c r="E10" s="5"/>
      <c r="F10" s="62" t="s">
        <v>117</v>
      </c>
      <c r="G10" s="5"/>
      <c r="H10" s="5"/>
      <c r="I10" s="28">
        <v>21479</v>
      </c>
      <c r="J10" s="28">
        <v>22292</v>
      </c>
      <c r="K10" s="28">
        <v>22887</v>
      </c>
      <c r="L10" s="61">
        <f>L8*L11</f>
        <v>22196.088299999999</v>
      </c>
      <c r="M10" s="61">
        <f t="shared" ref="M10:P10" si="2">M8*M11</f>
        <v>22640.010065999999</v>
      </c>
      <c r="N10" s="61">
        <f t="shared" si="2"/>
        <v>23545.610468639999</v>
      </c>
      <c r="O10" s="61">
        <f t="shared" si="2"/>
        <v>24722.890992072003</v>
      </c>
      <c r="P10" s="61">
        <f t="shared" si="2"/>
        <v>26206.264451596322</v>
      </c>
      <c r="R10" s="67">
        <f>IFERROR((K10/J10)-1,0)</f>
        <v>2.6691189664453718E-2</v>
      </c>
      <c r="S10" s="67">
        <f>IFERROR((L10/K10)-1,0)</f>
        <v>-3.0187953860270067E-2</v>
      </c>
      <c r="T10" s="67">
        <f>IFERROR((M10/L10)-1,0)</f>
        <v>2.0000000000000018E-2</v>
      </c>
      <c r="U10" s="67">
        <f t="shared" ref="U10:W10" si="3">IFERROR((N10/M10)-1,0)</f>
        <v>4.0000000000000036E-2</v>
      </c>
      <c r="V10" s="67">
        <f t="shared" si="3"/>
        <v>5.0000000000000266E-2</v>
      </c>
      <c r="W10" s="67">
        <f t="shared" si="3"/>
        <v>5.9999999999999831E-2</v>
      </c>
    </row>
    <row r="11" spans="1:23" x14ac:dyDescent="0.2">
      <c r="A11" s="56" t="s">
        <v>116</v>
      </c>
      <c r="B11" s="60">
        <v>0.43</v>
      </c>
      <c r="C11" s="7"/>
      <c r="I11" s="40">
        <f>I10/I8</f>
        <v>0.45983729394134021</v>
      </c>
      <c r="J11" s="40">
        <f t="shared" ref="J11:K11" si="4">J10/J8</f>
        <v>0.43524610969014194</v>
      </c>
      <c r="K11" s="40">
        <f t="shared" si="4"/>
        <v>0.44560180678322497</v>
      </c>
      <c r="L11" s="66">
        <f>$B$11</f>
        <v>0.43</v>
      </c>
      <c r="M11" s="66">
        <f t="shared" ref="M11:P11" si="5">$B$11</f>
        <v>0.43</v>
      </c>
      <c r="N11" s="66">
        <f t="shared" si="5"/>
        <v>0.43</v>
      </c>
      <c r="O11" s="66">
        <f t="shared" si="5"/>
        <v>0.43</v>
      </c>
      <c r="P11" s="66">
        <f t="shared" si="5"/>
        <v>0.43</v>
      </c>
      <c r="R11" s="68"/>
      <c r="S11" s="68"/>
      <c r="T11" s="68"/>
      <c r="U11" s="68"/>
      <c r="V11" s="68"/>
      <c r="W11" s="68"/>
    </row>
    <row r="12" spans="1:23" x14ac:dyDescent="0.2">
      <c r="A12" s="6"/>
      <c r="B12" s="7"/>
      <c r="C12" s="7"/>
      <c r="I12" s="27"/>
      <c r="J12" s="27"/>
      <c r="K12" s="27"/>
      <c r="R12" s="37"/>
      <c r="S12" s="37"/>
      <c r="T12" s="37"/>
      <c r="U12" s="37"/>
      <c r="V12" s="37"/>
      <c r="W12" s="37"/>
    </row>
    <row r="13" spans="1:23" x14ac:dyDescent="0.2">
      <c r="A13" s="6" t="s">
        <v>109</v>
      </c>
      <c r="B13" s="60">
        <v>0.26</v>
      </c>
      <c r="C13" s="7"/>
      <c r="F13" s="3" t="s">
        <v>122</v>
      </c>
      <c r="I13" s="27"/>
      <c r="J13" s="64"/>
      <c r="K13" s="64"/>
      <c r="L13" s="64"/>
      <c r="R13" s="37"/>
      <c r="S13" s="37"/>
      <c r="T13" s="37"/>
      <c r="U13" s="37"/>
      <c r="V13" s="37"/>
      <c r="W13" s="37"/>
    </row>
    <row r="14" spans="1:23" x14ac:dyDescent="0.2">
      <c r="A14" s="7" t="s">
        <v>3</v>
      </c>
      <c r="B14" s="60">
        <v>0.74</v>
      </c>
      <c r="F14" s="3" t="s">
        <v>123</v>
      </c>
      <c r="I14" s="27">
        <v>3850</v>
      </c>
      <c r="J14" s="27">
        <v>4060</v>
      </c>
      <c r="K14" s="27">
        <v>4285</v>
      </c>
      <c r="L14" s="36">
        <f>L16*$B$13</f>
        <v>4253.5402364033398</v>
      </c>
      <c r="M14" s="36">
        <f t="shared" ref="M14:P14" si="6">M16*$B$13</f>
        <v>4338.6110411314066</v>
      </c>
      <c r="N14" s="36">
        <f t="shared" si="6"/>
        <v>4512.1554827766631</v>
      </c>
      <c r="O14" s="36">
        <f t="shared" si="6"/>
        <v>4737.7632569154975</v>
      </c>
      <c r="P14" s="36">
        <f t="shared" si="6"/>
        <v>5022.0290523304266</v>
      </c>
      <c r="R14" s="65">
        <f>IFERROR((K14/J14)-1,0)</f>
        <v>5.5418719211822731E-2</v>
      </c>
      <c r="S14" s="65">
        <f t="shared" ref="S14:W14" si="7">IFERROR((L14/K14)-1,0)</f>
        <v>-7.341835145078246E-3</v>
      </c>
      <c r="T14" s="65">
        <f t="shared" si="7"/>
        <v>2.0000000000000018E-2</v>
      </c>
      <c r="U14" s="65">
        <f t="shared" si="7"/>
        <v>4.0000000000000036E-2</v>
      </c>
      <c r="V14" s="65">
        <f t="shared" si="7"/>
        <v>5.0000000000000266E-2</v>
      </c>
      <c r="W14" s="65">
        <f t="shared" si="7"/>
        <v>5.9999999999999831E-2</v>
      </c>
    </row>
    <row r="15" spans="1:23" x14ac:dyDescent="0.2">
      <c r="A15" s="7" t="s">
        <v>4</v>
      </c>
      <c r="I15" s="27">
        <v>10954</v>
      </c>
      <c r="J15" s="27">
        <v>12317</v>
      </c>
      <c r="K15" s="27">
        <v>12291</v>
      </c>
      <c r="L15" s="20">
        <f>L16*$B$14</f>
        <v>12106.229903609506</v>
      </c>
      <c r="M15" s="20">
        <f t="shared" ref="M15:P15" si="8">M16*$B$14</f>
        <v>12348.354501681695</v>
      </c>
      <c r="N15" s="20">
        <f t="shared" si="8"/>
        <v>12842.288681748963</v>
      </c>
      <c r="O15" s="20">
        <f t="shared" si="8"/>
        <v>13484.403115836414</v>
      </c>
      <c r="P15" s="20">
        <f t="shared" si="8"/>
        <v>14293.467302786599</v>
      </c>
      <c r="R15" s="65">
        <f>IFERROR((K15/J15)-1,0)</f>
        <v>-2.1109036291304673E-3</v>
      </c>
      <c r="S15" s="65">
        <f>IFERROR((L15/K15)-1,0)</f>
        <v>-1.5032958782075778E-2</v>
      </c>
      <c r="T15" s="65">
        <f t="shared" ref="T15:W15" si="9">IFERROR((M15/L15)-1,0)</f>
        <v>1.9999999999999796E-2</v>
      </c>
      <c r="U15" s="65">
        <f t="shared" si="9"/>
        <v>4.0000000000000036E-2</v>
      </c>
      <c r="V15" s="65">
        <f t="shared" si="9"/>
        <v>5.0000000000000266E-2</v>
      </c>
      <c r="W15" s="65">
        <f t="shared" si="9"/>
        <v>6.0000000000000053E-2</v>
      </c>
    </row>
    <row r="16" spans="1:23" x14ac:dyDescent="0.2">
      <c r="A16" s="8" t="s">
        <v>5</v>
      </c>
      <c r="B16" s="60">
        <f>I16/I8</f>
        <v>0.31693427531577822</v>
      </c>
      <c r="C16" s="63"/>
      <c r="D16" s="63"/>
      <c r="E16" s="5"/>
      <c r="F16" s="62" t="s">
        <v>118</v>
      </c>
      <c r="G16" s="5"/>
      <c r="H16" s="5"/>
      <c r="I16" s="28">
        <v>14804</v>
      </c>
      <c r="J16" s="28">
        <v>16377</v>
      </c>
      <c r="K16" s="28">
        <v>16576</v>
      </c>
      <c r="L16" s="61">
        <f>L8*$B$16</f>
        <v>16359.770140012846</v>
      </c>
      <c r="M16" s="61">
        <f t="shared" ref="M16:P16" si="10">M8*$B$16</f>
        <v>16686.965542813101</v>
      </c>
      <c r="N16" s="61">
        <f t="shared" si="10"/>
        <v>17354.444164525627</v>
      </c>
      <c r="O16" s="61">
        <f t="shared" si="10"/>
        <v>18222.166372751912</v>
      </c>
      <c r="P16" s="61">
        <f t="shared" si="10"/>
        <v>19315.496355117026</v>
      </c>
      <c r="R16" s="67">
        <f>IFERROR((K16/J16)-1,0)</f>
        <v>1.2151187641204153E-2</v>
      </c>
      <c r="S16" s="67">
        <f t="shared" ref="S16:V16" si="11">IFERROR((L16/K16)-1,0)</f>
        <v>-1.304475506679259E-2</v>
      </c>
      <c r="T16" s="67">
        <f t="shared" si="11"/>
        <v>1.9999999999999796E-2</v>
      </c>
      <c r="U16" s="67">
        <f t="shared" si="11"/>
        <v>4.0000000000000036E-2</v>
      </c>
      <c r="V16" s="67">
        <f t="shared" si="11"/>
        <v>5.0000000000000266E-2</v>
      </c>
      <c r="W16" s="67">
        <f>IFERROR((P16/O16)-1,0)</f>
        <v>6.0000000000000053E-2</v>
      </c>
    </row>
    <row r="17" spans="1:23" x14ac:dyDescent="0.2">
      <c r="A17" s="6"/>
      <c r="B17" s="7"/>
      <c r="C17" s="7"/>
      <c r="I17" s="32"/>
      <c r="J17" s="32"/>
      <c r="K17" s="32"/>
      <c r="R17" s="37"/>
      <c r="S17" s="37"/>
      <c r="T17" s="37"/>
      <c r="U17" s="37"/>
      <c r="V17" s="37"/>
      <c r="W17" s="37"/>
    </row>
    <row r="18" spans="1:23" x14ac:dyDescent="0.2">
      <c r="A18" s="6" t="s">
        <v>108</v>
      </c>
      <c r="B18" s="7"/>
      <c r="C18" s="7"/>
      <c r="I18" s="55">
        <f>I10-I16</f>
        <v>6675</v>
      </c>
      <c r="J18" s="55">
        <f>J10-J16</f>
        <v>5915</v>
      </c>
      <c r="K18" s="55">
        <f>K10-K16</f>
        <v>6311</v>
      </c>
      <c r="L18" s="55">
        <f>L10-L16</f>
        <v>5836.3181599871532</v>
      </c>
      <c r="M18" s="55">
        <f t="shared" ref="M18:P18" si="12">M10-M16</f>
        <v>5953.044523186898</v>
      </c>
      <c r="N18" s="55">
        <f t="shared" si="12"/>
        <v>6191.1663041143729</v>
      </c>
      <c r="O18" s="55">
        <f t="shared" si="12"/>
        <v>6500.7246193200917</v>
      </c>
      <c r="P18" s="55">
        <f t="shared" si="12"/>
        <v>6890.7680964792962</v>
      </c>
      <c r="R18" s="65">
        <f t="shared" ref="R18:R23" si="13">IFERROR((K18/J18)-1,0)</f>
        <v>6.6948436179205428E-2</v>
      </c>
      <c r="S18" s="65">
        <f t="shared" ref="S18:W21" si="14">IFERROR((L18/K18)-1,0)</f>
        <v>-7.5214996040698257E-2</v>
      </c>
      <c r="T18" s="65">
        <f t="shared" si="14"/>
        <v>2.000000000000024E-2</v>
      </c>
      <c r="U18" s="65">
        <f t="shared" si="14"/>
        <v>3.9999999999999813E-2</v>
      </c>
      <c r="V18" s="65">
        <f t="shared" si="14"/>
        <v>5.0000000000000044E-2</v>
      </c>
      <c r="W18" s="65">
        <f t="shared" si="14"/>
        <v>5.9999999999999831E-2</v>
      </c>
    </row>
    <row r="19" spans="1:23" x14ac:dyDescent="0.2">
      <c r="A19" s="7" t="s">
        <v>107</v>
      </c>
      <c r="B19" s="7"/>
      <c r="C19" s="7"/>
      <c r="I19" s="32">
        <v>205</v>
      </c>
      <c r="J19" s="32">
        <v>-6</v>
      </c>
      <c r="K19" s="32">
        <v>-161</v>
      </c>
      <c r="L19" s="55">
        <v>-161</v>
      </c>
      <c r="M19" s="55">
        <v>-161</v>
      </c>
      <c r="N19" s="55">
        <v>-161</v>
      </c>
      <c r="O19" s="55">
        <v>-161</v>
      </c>
      <c r="P19" s="55">
        <v>-161</v>
      </c>
      <c r="Q19" s="65"/>
      <c r="R19" s="65">
        <f t="shared" si="13"/>
        <v>25.833333333333332</v>
      </c>
      <c r="S19" s="90">
        <f t="shared" si="14"/>
        <v>0</v>
      </c>
      <c r="T19" s="90">
        <f t="shared" si="14"/>
        <v>0</v>
      </c>
      <c r="U19" s="90">
        <f t="shared" si="14"/>
        <v>0</v>
      </c>
      <c r="V19" s="90">
        <f t="shared" si="14"/>
        <v>0</v>
      </c>
      <c r="W19" s="90">
        <f t="shared" si="14"/>
        <v>0</v>
      </c>
    </row>
    <row r="20" spans="1:23" x14ac:dyDescent="0.2">
      <c r="A20" s="7" t="s">
        <v>6</v>
      </c>
      <c r="B20" s="7"/>
      <c r="C20" s="7"/>
      <c r="I20" s="32">
        <v>-181</v>
      </c>
      <c r="J20" s="32">
        <v>-280</v>
      </c>
      <c r="K20" s="32">
        <v>-228</v>
      </c>
      <c r="L20" s="55">
        <v>-228</v>
      </c>
      <c r="M20" s="55">
        <v>-228</v>
      </c>
      <c r="N20" s="55">
        <v>-228</v>
      </c>
      <c r="O20" s="55">
        <v>-228</v>
      </c>
      <c r="P20" s="55">
        <v>-228</v>
      </c>
      <c r="Q20" s="65"/>
      <c r="R20" s="65">
        <f t="shared" si="13"/>
        <v>-0.18571428571428572</v>
      </c>
      <c r="S20" s="90">
        <f t="shared" si="14"/>
        <v>0</v>
      </c>
      <c r="T20" s="90">
        <f t="shared" si="14"/>
        <v>0</v>
      </c>
      <c r="U20" s="90">
        <f t="shared" si="14"/>
        <v>0</v>
      </c>
      <c r="V20" s="90">
        <f t="shared" si="14"/>
        <v>0</v>
      </c>
      <c r="W20" s="90">
        <f t="shared" si="14"/>
        <v>0</v>
      </c>
    </row>
    <row r="21" spans="1:23" x14ac:dyDescent="0.2">
      <c r="A21" s="8" t="s">
        <v>7</v>
      </c>
      <c r="B21" s="9"/>
      <c r="C21" s="9"/>
      <c r="D21" s="5"/>
      <c r="E21" s="5"/>
      <c r="F21" s="5"/>
      <c r="G21" s="5"/>
      <c r="H21" s="5"/>
      <c r="I21" s="39">
        <f>I18-I19-I20</f>
        <v>6651</v>
      </c>
      <c r="J21" s="39">
        <f>J18-J19-J20</f>
        <v>6201</v>
      </c>
      <c r="K21" s="39">
        <f>K18-K19-K20</f>
        <v>6700</v>
      </c>
      <c r="L21" s="39">
        <f>L18-L19-L20</f>
        <v>6225.3181599871532</v>
      </c>
      <c r="M21" s="39">
        <f t="shared" ref="M21:P21" si="15">M18-M19-M20</f>
        <v>6342.044523186898</v>
      </c>
      <c r="N21" s="39">
        <f t="shared" si="15"/>
        <v>6580.1663041143729</v>
      </c>
      <c r="O21" s="39">
        <f t="shared" si="15"/>
        <v>6889.7246193200917</v>
      </c>
      <c r="P21" s="39">
        <f t="shared" si="15"/>
        <v>7279.7680964792962</v>
      </c>
      <c r="R21" s="67">
        <f t="shared" si="13"/>
        <v>8.047089179164657E-2</v>
      </c>
      <c r="S21" s="67">
        <f t="shared" si="14"/>
        <v>-7.084803582281296E-2</v>
      </c>
      <c r="T21" s="67">
        <f t="shared" si="14"/>
        <v>1.8750264677233064E-2</v>
      </c>
      <c r="U21" s="67">
        <f t="shared" si="14"/>
        <v>3.754653251910911E-2</v>
      </c>
      <c r="V21" s="67">
        <f t="shared" si="14"/>
        <v>4.7044147655076918E-2</v>
      </c>
      <c r="W21" s="67">
        <f t="shared" si="14"/>
        <v>5.6612346459457674E-2</v>
      </c>
    </row>
    <row r="22" spans="1:23" x14ac:dyDescent="0.2">
      <c r="A22" s="7" t="s">
        <v>8</v>
      </c>
      <c r="B22" s="60">
        <v>0.15</v>
      </c>
      <c r="C22" s="4"/>
      <c r="D22" s="4"/>
      <c r="E22" s="4"/>
      <c r="F22" s="37" t="s">
        <v>184</v>
      </c>
      <c r="G22" s="4"/>
      <c r="I22" s="32">
        <v>605</v>
      </c>
      <c r="J22" s="32">
        <v>1131</v>
      </c>
      <c r="K22" s="32">
        <v>1000</v>
      </c>
      <c r="L22" s="36">
        <f>L21*$B$22</f>
        <v>933.79772399807291</v>
      </c>
      <c r="M22" s="36">
        <f t="shared" ref="M22:P22" si="16">M21*$B$22</f>
        <v>951.30667847803466</v>
      </c>
      <c r="N22" s="36">
        <f t="shared" si="16"/>
        <v>987.02494561715594</v>
      </c>
      <c r="O22" s="36">
        <f t="shared" si="16"/>
        <v>1033.4586928980136</v>
      </c>
      <c r="P22" s="36">
        <f t="shared" si="16"/>
        <v>1091.9652144718943</v>
      </c>
      <c r="R22" s="65">
        <f t="shared" si="13"/>
        <v>-0.11582670203359857</v>
      </c>
      <c r="S22" s="65">
        <f t="shared" ref="S22:W23" si="17">IFERROR((L22/K22)-1,0)</f>
        <v>-6.6202276001927074E-2</v>
      </c>
      <c r="T22" s="65">
        <f t="shared" si="17"/>
        <v>1.8750264677233064E-2</v>
      </c>
      <c r="U22" s="65">
        <f t="shared" si="17"/>
        <v>3.754653251910911E-2</v>
      </c>
      <c r="V22" s="65">
        <f t="shared" si="17"/>
        <v>4.7044147655076918E-2</v>
      </c>
      <c r="W22" s="65">
        <f t="shared" si="17"/>
        <v>5.6612346459457674E-2</v>
      </c>
    </row>
    <row r="23" spans="1:23" x14ac:dyDescent="0.2">
      <c r="A23" s="10" t="s">
        <v>15</v>
      </c>
      <c r="B23" s="10"/>
      <c r="C23" s="10"/>
      <c r="D23" s="10"/>
      <c r="E23" s="10"/>
      <c r="F23" s="10"/>
      <c r="G23" s="10"/>
      <c r="H23" s="10"/>
      <c r="I23" s="30">
        <v>6046</v>
      </c>
      <c r="J23" s="30">
        <v>5070</v>
      </c>
      <c r="K23" s="30">
        <v>5700</v>
      </c>
      <c r="L23" s="70">
        <f>L21-L22</f>
        <v>5291.5204359890804</v>
      </c>
      <c r="M23" s="70">
        <f t="shared" ref="M23:P23" si="18">M21-M22</f>
        <v>5390.7378447088631</v>
      </c>
      <c r="N23" s="70">
        <f t="shared" si="18"/>
        <v>5593.141358497217</v>
      </c>
      <c r="O23" s="70">
        <f t="shared" si="18"/>
        <v>5856.2659264220783</v>
      </c>
      <c r="P23" s="70">
        <f t="shared" si="18"/>
        <v>6187.8028820074014</v>
      </c>
      <c r="R23" s="71">
        <f t="shared" si="13"/>
        <v>0.12426035502958577</v>
      </c>
      <c r="S23" s="71">
        <f t="shared" si="17"/>
        <v>-7.1663081405424545E-2</v>
      </c>
      <c r="T23" s="71">
        <f t="shared" si="17"/>
        <v>1.8750264677233064E-2</v>
      </c>
      <c r="U23" s="71">
        <f t="shared" si="17"/>
        <v>3.754653251910911E-2</v>
      </c>
      <c r="V23" s="71">
        <f t="shared" si="17"/>
        <v>4.704414765507714E-2</v>
      </c>
      <c r="W23" s="71">
        <f t="shared" si="17"/>
        <v>5.6612346459457674E-2</v>
      </c>
    </row>
    <row r="24" spans="1:23" x14ac:dyDescent="0.2">
      <c r="A24" s="24" t="s">
        <v>74</v>
      </c>
      <c r="B24" s="4"/>
      <c r="C24" s="4"/>
      <c r="D24" s="4"/>
      <c r="E24" s="4"/>
      <c r="F24" s="4"/>
      <c r="G24" s="4"/>
      <c r="H24" s="4"/>
      <c r="I24" s="41">
        <f>I23/I8</f>
        <v>0.12943695140226932</v>
      </c>
      <c r="J24" s="41">
        <f>J23/J8</f>
        <v>9.8990569537458259E-2</v>
      </c>
      <c r="K24" s="41">
        <f>K23/K8</f>
        <v>0.11097698687745804</v>
      </c>
      <c r="L24" s="41">
        <f t="shared" ref="L24:P24" si="19">L23/L8</f>
        <v>0.10251147664948264</v>
      </c>
      <c r="M24" s="41">
        <f t="shared" si="19"/>
        <v>0.10238587644030826</v>
      </c>
      <c r="N24" s="41">
        <f t="shared" si="19"/>
        <v>0.10214433757651133</v>
      </c>
      <c r="O24" s="41">
        <f t="shared" si="19"/>
        <v>0.10185679131008643</v>
      </c>
      <c r="P24" s="41">
        <f t="shared" si="19"/>
        <v>0.10153126723488841</v>
      </c>
      <c r="R24" s="68"/>
      <c r="S24" s="68"/>
      <c r="T24" s="68"/>
      <c r="U24" s="68"/>
      <c r="V24" s="68"/>
      <c r="W24" s="68"/>
    </row>
    <row r="25" spans="1:23" x14ac:dyDescent="0.2">
      <c r="A25" s="24"/>
      <c r="B25" s="4"/>
      <c r="C25" s="4"/>
      <c r="D25" s="4"/>
      <c r="E25" s="4"/>
      <c r="F25" s="4"/>
      <c r="G25" s="4"/>
      <c r="H25" s="4"/>
      <c r="I25" s="29"/>
      <c r="J25" s="29"/>
      <c r="K25" s="29"/>
      <c r="R25" s="37"/>
      <c r="S25" s="37"/>
      <c r="T25" s="37"/>
      <c r="U25" s="37"/>
      <c r="V25" s="37"/>
      <c r="W25" s="37"/>
    </row>
    <row r="26" spans="1:23" x14ac:dyDescent="0.2">
      <c r="A26" s="22" t="s">
        <v>75</v>
      </c>
      <c r="B26" s="23"/>
      <c r="C26" s="23"/>
      <c r="D26" s="23"/>
      <c r="E26" s="23"/>
      <c r="F26" s="23"/>
      <c r="G26" s="23"/>
      <c r="H26" s="23"/>
      <c r="I26" s="31"/>
      <c r="J26" s="31"/>
      <c r="K26" s="31"/>
      <c r="L26" s="23"/>
      <c r="M26" s="23"/>
      <c r="N26" s="23"/>
      <c r="O26" s="23"/>
      <c r="P26" s="23"/>
      <c r="R26" s="23"/>
      <c r="S26" s="23"/>
      <c r="T26" s="23"/>
      <c r="U26" s="23"/>
      <c r="V26" s="23"/>
      <c r="W26" s="23"/>
    </row>
    <row r="27" spans="1:23" x14ac:dyDescent="0.2">
      <c r="A27" s="3" t="s">
        <v>73</v>
      </c>
      <c r="I27" s="38" cm="1">
        <f t="array" ref="I27:K27">I23:K23</f>
        <v>6046</v>
      </c>
      <c r="J27" s="38">
        <v>5070</v>
      </c>
      <c r="K27" s="38">
        <v>5700</v>
      </c>
      <c r="L27" s="36">
        <f>L23</f>
        <v>5291.5204359890804</v>
      </c>
      <c r="M27" s="36">
        <f t="shared" ref="M27:P27" si="20">M23</f>
        <v>5390.7378447088631</v>
      </c>
      <c r="N27" s="36">
        <f t="shared" si="20"/>
        <v>5593.141358497217</v>
      </c>
      <c r="O27" s="36">
        <f t="shared" si="20"/>
        <v>5856.2659264220783</v>
      </c>
      <c r="P27" s="36">
        <f t="shared" si="20"/>
        <v>6187.8028820074014</v>
      </c>
      <c r="R27" s="65">
        <f>IFERROR((K27/J27)-1,0)</f>
        <v>0.12426035502958577</v>
      </c>
      <c r="S27" s="65">
        <f t="shared" ref="S27:W30" si="21">IFERROR((L27/K27)-1,0)</f>
        <v>-7.1663081405424545E-2</v>
      </c>
      <c r="T27" s="65">
        <f t="shared" si="21"/>
        <v>1.8750264677233064E-2</v>
      </c>
      <c r="U27" s="65">
        <f t="shared" si="21"/>
        <v>3.754653251910911E-2</v>
      </c>
      <c r="V27" s="65">
        <f t="shared" si="21"/>
        <v>4.704414765507714E-2</v>
      </c>
      <c r="W27" s="65">
        <f t="shared" si="21"/>
        <v>5.6612346459457674E-2</v>
      </c>
    </row>
    <row r="28" spans="1:23" x14ac:dyDescent="0.2">
      <c r="A28" s="7" t="s">
        <v>76</v>
      </c>
      <c r="I28" s="27">
        <v>205</v>
      </c>
      <c r="J28" s="27">
        <v>-6</v>
      </c>
      <c r="K28" s="27">
        <v>-161</v>
      </c>
      <c r="L28" s="36">
        <f>L19</f>
        <v>-161</v>
      </c>
      <c r="M28" s="36">
        <f t="shared" ref="M28:P28" si="22">M19</f>
        <v>-161</v>
      </c>
      <c r="N28" s="36">
        <f t="shared" si="22"/>
        <v>-161</v>
      </c>
      <c r="O28" s="36">
        <f t="shared" si="22"/>
        <v>-161</v>
      </c>
      <c r="P28" s="36">
        <f t="shared" si="22"/>
        <v>-161</v>
      </c>
      <c r="R28" s="65">
        <f>IFERROR((K28/J28)-1,0)</f>
        <v>25.833333333333332</v>
      </c>
      <c r="S28" s="90">
        <f t="shared" si="21"/>
        <v>0</v>
      </c>
      <c r="T28" s="90">
        <f t="shared" si="21"/>
        <v>0</v>
      </c>
      <c r="U28" s="90">
        <f t="shared" si="21"/>
        <v>0</v>
      </c>
      <c r="V28" s="90">
        <f t="shared" si="21"/>
        <v>0</v>
      </c>
      <c r="W28" s="90">
        <f t="shared" si="21"/>
        <v>0</v>
      </c>
    </row>
    <row r="29" spans="1:23" ht="16" x14ac:dyDescent="0.2">
      <c r="A29" s="7" t="s">
        <v>8</v>
      </c>
      <c r="B29"/>
      <c r="I29" s="27">
        <v>605</v>
      </c>
      <c r="J29" s="27">
        <v>1131</v>
      </c>
      <c r="K29" s="27">
        <v>1000</v>
      </c>
      <c r="L29" s="36">
        <f>L22</f>
        <v>933.79772399807291</v>
      </c>
      <c r="M29" s="36">
        <f>M22</f>
        <v>951.30667847803466</v>
      </c>
      <c r="N29" s="36">
        <f>N22</f>
        <v>987.02494561715594</v>
      </c>
      <c r="O29" s="36">
        <f>O22</f>
        <v>1033.4586928980136</v>
      </c>
      <c r="P29" s="36">
        <f>P22</f>
        <v>1091.9652144718943</v>
      </c>
      <c r="R29" s="65">
        <f>IFERROR((K29/J29)-1,0)</f>
        <v>-0.11582670203359857</v>
      </c>
      <c r="S29" s="65">
        <f t="shared" si="21"/>
        <v>-6.6202276001927074E-2</v>
      </c>
      <c r="T29" s="65">
        <f t="shared" si="21"/>
        <v>1.8750264677233064E-2</v>
      </c>
      <c r="U29" s="65">
        <f t="shared" si="21"/>
        <v>3.754653251910911E-2</v>
      </c>
      <c r="V29" s="65">
        <f t="shared" si="21"/>
        <v>4.7044147655076918E-2</v>
      </c>
      <c r="W29" s="65">
        <f t="shared" si="21"/>
        <v>5.6612346459457674E-2</v>
      </c>
    </row>
    <row r="30" spans="1:23" x14ac:dyDescent="0.2">
      <c r="A30" s="7" t="s">
        <v>110</v>
      </c>
      <c r="I30" s="27">
        <v>717</v>
      </c>
      <c r="J30" s="27">
        <v>703</v>
      </c>
      <c r="K30" s="27">
        <v>796</v>
      </c>
      <c r="L30" s="36">
        <f>L177</f>
        <v>856.42857142857144</v>
      </c>
      <c r="M30" s="36">
        <f t="shared" ref="M30:P30" si="23">M177</f>
        <v>916.85714285714289</v>
      </c>
      <c r="N30" s="36">
        <f t="shared" si="23"/>
        <v>977.28571428571422</v>
      </c>
      <c r="O30" s="36">
        <f t="shared" si="23"/>
        <v>1037.7142857142858</v>
      </c>
      <c r="P30" s="36">
        <f t="shared" si="23"/>
        <v>1098.1428571428571</v>
      </c>
      <c r="R30" s="65">
        <f>IFERROR((K30/J30)-1,0)</f>
        <v>0.13229018492176392</v>
      </c>
      <c r="S30" s="65">
        <f t="shared" si="21"/>
        <v>7.591529073941139E-2</v>
      </c>
      <c r="T30" s="65">
        <f t="shared" si="21"/>
        <v>7.0558798999166061E-2</v>
      </c>
      <c r="U30" s="65">
        <f t="shared" si="21"/>
        <v>6.5908382673730115E-2</v>
      </c>
      <c r="V30" s="65">
        <f t="shared" si="21"/>
        <v>6.18330653413246E-2</v>
      </c>
      <c r="W30" s="65">
        <f t="shared" si="21"/>
        <v>5.8232378854625511E-2</v>
      </c>
    </row>
    <row r="31" spans="1:23" x14ac:dyDescent="0.2">
      <c r="A31" s="7" t="s">
        <v>77</v>
      </c>
      <c r="I31" s="27">
        <v>123</v>
      </c>
      <c r="J31" s="27">
        <v>156</v>
      </c>
      <c r="K31" s="27">
        <v>48</v>
      </c>
      <c r="L31" s="38">
        <v>48</v>
      </c>
      <c r="M31" s="38">
        <v>48</v>
      </c>
      <c r="N31" s="38">
        <v>48</v>
      </c>
      <c r="O31" s="38">
        <v>48</v>
      </c>
      <c r="P31" s="38">
        <v>48</v>
      </c>
      <c r="R31" s="37"/>
      <c r="S31" s="37"/>
      <c r="T31" s="37"/>
      <c r="U31" s="37"/>
      <c r="V31" s="37"/>
      <c r="W31" s="37"/>
    </row>
    <row r="32" spans="1:23" x14ac:dyDescent="0.2">
      <c r="A32" s="8" t="s">
        <v>78</v>
      </c>
      <c r="B32" s="9"/>
      <c r="C32" s="9"/>
      <c r="D32" s="9"/>
      <c r="E32" s="9"/>
      <c r="F32" s="9"/>
      <c r="G32" s="9"/>
      <c r="H32" s="9"/>
      <c r="I32" s="105">
        <f t="shared" ref="I32:P32" si="24">SUM(I28:I31)</f>
        <v>1650</v>
      </c>
      <c r="J32" s="105">
        <f t="shared" si="24"/>
        <v>1984</v>
      </c>
      <c r="K32" s="105">
        <f>SUM(K28:K31)</f>
        <v>1683</v>
      </c>
      <c r="L32" s="106">
        <f t="shared" si="24"/>
        <v>1677.2262954266444</v>
      </c>
      <c r="M32" s="106">
        <f t="shared" si="24"/>
        <v>1755.1638213351775</v>
      </c>
      <c r="N32" s="106">
        <f t="shared" si="24"/>
        <v>1851.3106599028702</v>
      </c>
      <c r="O32" s="106">
        <f t="shared" si="24"/>
        <v>1958.1729786122994</v>
      </c>
      <c r="P32" s="106">
        <f t="shared" si="24"/>
        <v>2077.1080716147517</v>
      </c>
      <c r="R32" s="77">
        <f>IFERROR((K32/J32)-1,0)</f>
        <v>-0.15171370967741937</v>
      </c>
      <c r="S32" s="77">
        <f t="shared" ref="S32:W33" si="25">IFERROR((L32/K32)-1,0)</f>
        <v>-3.4306028362184326E-3</v>
      </c>
      <c r="T32" s="77">
        <f t="shared" si="25"/>
        <v>4.6468103988739129E-2</v>
      </c>
      <c r="U32" s="77">
        <f t="shared" si="25"/>
        <v>5.4779409989520245E-2</v>
      </c>
      <c r="V32" s="77">
        <f t="shared" si="25"/>
        <v>5.7722521143499295E-2</v>
      </c>
      <c r="W32" s="77">
        <f t="shared" si="25"/>
        <v>6.0737786856163378E-2</v>
      </c>
    </row>
    <row r="33" spans="1:23" x14ac:dyDescent="0.2">
      <c r="A33" s="57" t="s">
        <v>75</v>
      </c>
      <c r="B33" s="25"/>
      <c r="C33" s="25"/>
      <c r="D33" s="25"/>
      <c r="E33" s="25"/>
      <c r="F33" s="25"/>
      <c r="G33" s="25"/>
      <c r="H33" s="25"/>
      <c r="I33" s="107">
        <f>I27+I32</f>
        <v>7696</v>
      </c>
      <c r="J33" s="107">
        <f>J27+J32</f>
        <v>7054</v>
      </c>
      <c r="K33" s="107">
        <f t="shared" ref="K33:N33" si="26">K27+K32</f>
        <v>7383</v>
      </c>
      <c r="L33" s="107">
        <f t="shared" si="26"/>
        <v>6968.7467314157248</v>
      </c>
      <c r="M33" s="107">
        <f t="shared" si="26"/>
        <v>7145.9016660440411</v>
      </c>
      <c r="N33" s="107">
        <f t="shared" si="26"/>
        <v>7444.4520184000867</v>
      </c>
      <c r="O33" s="107">
        <f>O27+O32</f>
        <v>7814.438905034378</v>
      </c>
      <c r="P33" s="107">
        <f t="shared" ref="P33" si="27">P28+P32</f>
        <v>1916.1080716147517</v>
      </c>
      <c r="R33" s="77">
        <f>IFERROR((K33/J33)-1,0)</f>
        <v>4.6640204139495323E-2</v>
      </c>
      <c r="S33" s="77">
        <f t="shared" si="25"/>
        <v>-5.6109070646657933E-2</v>
      </c>
      <c r="T33" s="77">
        <f t="shared" si="25"/>
        <v>2.5421347834279295E-2</v>
      </c>
      <c r="U33" s="77">
        <f t="shared" si="25"/>
        <v>4.17792416280649E-2</v>
      </c>
      <c r="V33" s="77">
        <f t="shared" si="25"/>
        <v>4.9699680476120056E-2</v>
      </c>
      <c r="W33" s="77">
        <f t="shared" si="25"/>
        <v>-0.75479902077418282</v>
      </c>
    </row>
    <row r="34" spans="1:23" x14ac:dyDescent="0.2">
      <c r="A34" s="58" t="s">
        <v>74</v>
      </c>
      <c r="I34" s="42">
        <f t="shared" ref="I34:P34" si="28">I33/I9</f>
        <v>0.30502160041219134</v>
      </c>
      <c r="J34" s="42">
        <f t="shared" si="28"/>
        <v>0.24387208297320656</v>
      </c>
      <c r="K34" s="42">
        <f t="shared" si="28"/>
        <v>0.25928007023705002</v>
      </c>
      <c r="L34" s="42">
        <f t="shared" si="28"/>
        <v>0.23684915360551859</v>
      </c>
      <c r="M34" s="42">
        <f t="shared" si="28"/>
        <v>0.23810801796429329</v>
      </c>
      <c r="N34" s="42">
        <f t="shared" si="28"/>
        <v>0.23851537536577219</v>
      </c>
      <c r="O34" s="42">
        <f t="shared" si="28"/>
        <v>0.2384471555334218</v>
      </c>
      <c r="P34" s="42">
        <f t="shared" si="28"/>
        <v>5.5157996255099748E-2</v>
      </c>
      <c r="R34" s="69"/>
      <c r="S34" s="69"/>
      <c r="T34" s="69"/>
      <c r="U34" s="69"/>
      <c r="V34" s="69"/>
      <c r="W34" s="69"/>
    </row>
    <row r="35" spans="1:23" x14ac:dyDescent="0.2">
      <c r="A35" s="4"/>
      <c r="B35" s="4"/>
      <c r="C35" s="4"/>
      <c r="D35" s="4"/>
      <c r="E35" s="4"/>
      <c r="F35" s="4"/>
      <c r="G35" s="4"/>
      <c r="H35" s="4"/>
      <c r="I35" s="27"/>
      <c r="J35" s="27"/>
      <c r="K35" s="27"/>
      <c r="R35" s="37"/>
      <c r="S35" s="37"/>
      <c r="T35" s="37"/>
      <c r="U35" s="37"/>
      <c r="V35" s="37"/>
      <c r="W35" s="37"/>
    </row>
    <row r="36" spans="1:23" x14ac:dyDescent="0.2">
      <c r="A36" s="22" t="s">
        <v>16</v>
      </c>
      <c r="B36" s="23"/>
      <c r="C36" s="23"/>
      <c r="D36" s="23"/>
      <c r="E36" s="23"/>
      <c r="F36" s="23"/>
      <c r="G36" s="23"/>
      <c r="H36" s="23"/>
      <c r="I36" s="33"/>
      <c r="J36" s="33"/>
      <c r="K36" s="33"/>
      <c r="L36" s="26"/>
      <c r="M36" s="26"/>
      <c r="N36" s="26"/>
      <c r="O36" s="26"/>
      <c r="P36" s="26"/>
      <c r="R36" s="26"/>
      <c r="S36" s="26"/>
      <c r="T36" s="26"/>
      <c r="U36" s="26"/>
      <c r="V36" s="26"/>
      <c r="W36" s="26"/>
    </row>
    <row r="37" spans="1:23" x14ac:dyDescent="0.2">
      <c r="A37" s="11" t="s">
        <v>79</v>
      </c>
      <c r="I37" s="27"/>
      <c r="J37" s="27"/>
      <c r="K37" s="27"/>
      <c r="R37" s="37"/>
      <c r="S37" s="37"/>
      <c r="T37" s="37"/>
      <c r="U37" s="37"/>
      <c r="V37" s="37"/>
      <c r="W37" s="37"/>
    </row>
    <row r="38" spans="1:23" x14ac:dyDescent="0.2">
      <c r="A38" s="13" t="s">
        <v>48</v>
      </c>
      <c r="I38" s="27"/>
      <c r="J38" s="27"/>
      <c r="K38" s="27"/>
      <c r="L38" s="114"/>
      <c r="M38" s="114"/>
      <c r="N38" s="114"/>
      <c r="O38" s="114"/>
      <c r="P38" s="114"/>
      <c r="R38" s="37"/>
      <c r="S38" s="37"/>
      <c r="T38" s="37"/>
      <c r="U38" s="37"/>
      <c r="V38" s="37"/>
      <c r="W38" s="37"/>
    </row>
    <row r="39" spans="1:23" x14ac:dyDescent="0.2">
      <c r="A39" s="117" t="s">
        <v>17</v>
      </c>
      <c r="B39" s="11"/>
      <c r="E39" s="11"/>
      <c r="I39" s="27">
        <v>8574</v>
      </c>
      <c r="J39" s="27">
        <v>7441</v>
      </c>
      <c r="K39" s="27">
        <v>9860</v>
      </c>
      <c r="L39" s="124" cm="1">
        <f t="array" ref="L39:P39">L127:P127</f>
        <v>10296.250130979297</v>
      </c>
      <c r="M39" s="124">
        <v>10555.851141016534</v>
      </c>
      <c r="N39" s="124">
        <v>10831.810499640778</v>
      </c>
      <c r="O39" s="124">
        <v>11286.282683370853</v>
      </c>
      <c r="P39" s="124">
        <v>12969.308306729183</v>
      </c>
      <c r="R39" s="65">
        <f>IFERROR((K39/J39)-1,0)</f>
        <v>0.32509071361376152</v>
      </c>
      <c r="S39" s="65">
        <f t="shared" ref="S39:W39" si="29">IFERROR((L39/K39)-1,0)</f>
        <v>4.4244435190598175E-2</v>
      </c>
      <c r="T39" s="65">
        <f t="shared" si="29"/>
        <v>2.5213160785221289E-2</v>
      </c>
      <c r="U39" s="65">
        <f t="shared" si="29"/>
        <v>2.614278611337717E-2</v>
      </c>
      <c r="V39" s="65">
        <f t="shared" si="29"/>
        <v>4.1957176387562134E-2</v>
      </c>
      <c r="W39" s="65">
        <f t="shared" si="29"/>
        <v>0.14912134230326246</v>
      </c>
    </row>
    <row r="40" spans="1:23" x14ac:dyDescent="0.2">
      <c r="A40" s="14" t="s">
        <v>18</v>
      </c>
      <c r="F40" s="37" t="s">
        <v>179</v>
      </c>
      <c r="I40" s="27">
        <v>4423</v>
      </c>
      <c r="J40" s="27">
        <v>3234</v>
      </c>
      <c r="K40" s="27">
        <v>1722</v>
      </c>
      <c r="L40" s="95">
        <v>1722</v>
      </c>
      <c r="M40" s="95">
        <v>1722</v>
      </c>
      <c r="N40" s="95">
        <v>1722</v>
      </c>
      <c r="O40" s="95">
        <v>1722</v>
      </c>
      <c r="P40" s="95">
        <v>1722</v>
      </c>
      <c r="R40" s="65">
        <f>IFERROR((K40/J40)-1,0)</f>
        <v>-0.46753246753246758</v>
      </c>
      <c r="S40" s="65">
        <f t="shared" ref="S40:W40" si="30">IFERROR((L40/K40)-1,0)</f>
        <v>0</v>
      </c>
      <c r="T40" s="65">
        <f>IFERROR((M40/L40)-1,0)</f>
        <v>0</v>
      </c>
      <c r="U40" s="65">
        <f t="shared" si="30"/>
        <v>0</v>
      </c>
      <c r="V40" s="65">
        <f t="shared" si="30"/>
        <v>0</v>
      </c>
      <c r="W40" s="65">
        <f t="shared" si="30"/>
        <v>0</v>
      </c>
    </row>
    <row r="41" spans="1:23" x14ac:dyDescent="0.2">
      <c r="A41" s="14" t="s">
        <v>19</v>
      </c>
      <c r="F41" s="37" t="s">
        <v>185</v>
      </c>
      <c r="I41" s="27">
        <v>4667</v>
      </c>
      <c r="J41" s="27">
        <v>4131</v>
      </c>
      <c r="K41" s="27">
        <v>4427</v>
      </c>
      <c r="L41" s="20">
        <f>L134</f>
        <v>4384.0633150684926</v>
      </c>
      <c r="M41" s="20">
        <f t="shared" ref="M41:P41" si="31">M134</f>
        <v>4471.7445813698632</v>
      </c>
      <c r="N41" s="20">
        <f t="shared" si="31"/>
        <v>4650.6143646246574</v>
      </c>
      <c r="O41" s="20">
        <f t="shared" si="31"/>
        <v>4883.1450828558909</v>
      </c>
      <c r="P41" s="20">
        <f t="shared" si="31"/>
        <v>5176.1337878272443</v>
      </c>
      <c r="R41" s="65">
        <f>IFERROR((K41/J41)-1,0)</f>
        <v>7.1653352699104333E-2</v>
      </c>
      <c r="S41" s="65">
        <f t="shared" ref="S41:V43" si="32">IFERROR((L41/K41)-1,0)</f>
        <v>-9.6988219858837876E-3</v>
      </c>
      <c r="T41" s="65">
        <f t="shared" si="32"/>
        <v>2.000000000000024E-2</v>
      </c>
      <c r="U41" s="65">
        <f t="shared" si="32"/>
        <v>3.9999999999999813E-2</v>
      </c>
      <c r="V41" s="65">
        <f t="shared" si="32"/>
        <v>5.0000000000000044E-2</v>
      </c>
      <c r="W41" s="65">
        <f>IFERROR((P41/O41)-1,0)</f>
        <v>6.0000000000000053E-2</v>
      </c>
    </row>
    <row r="42" spans="1:23" x14ac:dyDescent="0.2">
      <c r="A42" s="14" t="s">
        <v>20</v>
      </c>
      <c r="F42" s="37" t="s">
        <v>185</v>
      </c>
      <c r="I42" s="27">
        <v>8420</v>
      </c>
      <c r="J42" s="27">
        <v>8454</v>
      </c>
      <c r="K42" s="27">
        <v>7519</v>
      </c>
      <c r="L42" s="20">
        <f>L135</f>
        <v>8423.7655278082184</v>
      </c>
      <c r="M42" s="20">
        <f t="shared" ref="M42:P42" si="33">M135</f>
        <v>8592.2408383643833</v>
      </c>
      <c r="N42" s="20">
        <f t="shared" si="33"/>
        <v>8935.9304718989606</v>
      </c>
      <c r="O42" s="20">
        <f t="shared" si="33"/>
        <v>9382.7269954939075</v>
      </c>
      <c r="P42" s="20">
        <f t="shared" si="33"/>
        <v>9945.6906152235442</v>
      </c>
      <c r="R42" s="65">
        <f>IFERROR((K42/J42)-1,0)</f>
        <v>-0.11059853323870361</v>
      </c>
      <c r="S42" s="65">
        <f t="shared" si="32"/>
        <v>0.12033056627320371</v>
      </c>
      <c r="T42" s="65">
        <f t="shared" si="32"/>
        <v>2.0000000000000018E-2</v>
      </c>
      <c r="U42" s="65">
        <f t="shared" si="32"/>
        <v>4.0000000000000258E-2</v>
      </c>
      <c r="V42" s="65">
        <f t="shared" si="32"/>
        <v>4.9999999999999822E-2</v>
      </c>
      <c r="W42" s="65">
        <f t="shared" ref="W42" si="34">IFERROR((P42/O42)-1,0)</f>
        <v>6.0000000000000275E-2</v>
      </c>
    </row>
    <row r="43" spans="1:23" x14ac:dyDescent="0.2">
      <c r="A43" s="14" t="s">
        <v>21</v>
      </c>
      <c r="F43" s="37" t="s">
        <v>185</v>
      </c>
      <c r="I43" s="27">
        <v>2129</v>
      </c>
      <c r="J43" s="27">
        <v>1942</v>
      </c>
      <c r="K43" s="27">
        <v>1854</v>
      </c>
      <c r="L43" s="36">
        <f>L136</f>
        <v>2064.7523999999999</v>
      </c>
      <c r="M43" s="36">
        <f t="shared" ref="M43:P43" si="35">M136</f>
        <v>2106.0474479999998</v>
      </c>
      <c r="N43" s="36">
        <f t="shared" si="35"/>
        <v>2190.28934592</v>
      </c>
      <c r="O43" s="36">
        <f t="shared" si="35"/>
        <v>2299.8038132160004</v>
      </c>
      <c r="P43" s="36">
        <f t="shared" si="35"/>
        <v>2437.7920420089604</v>
      </c>
      <c r="R43" s="65">
        <f>IFERROR((K43/J43)-1,0)</f>
        <v>-4.5314109165808469E-2</v>
      </c>
      <c r="S43" s="65">
        <f t="shared" si="32"/>
        <v>0.11367443365695795</v>
      </c>
      <c r="T43" s="65">
        <f t="shared" si="32"/>
        <v>2.0000000000000018E-2</v>
      </c>
      <c r="U43" s="65">
        <f t="shared" si="32"/>
        <v>4.0000000000000036E-2</v>
      </c>
      <c r="V43" s="65">
        <f>IFERROR((O43/N43)-1,0)</f>
        <v>5.0000000000000266E-2</v>
      </c>
      <c r="W43" s="65">
        <f>IFERROR((P43/O43)-1,0)</f>
        <v>6.0000000000000053E-2</v>
      </c>
    </row>
    <row r="44" spans="1:23" x14ac:dyDescent="0.2">
      <c r="A44" s="11"/>
      <c r="I44" s="27"/>
      <c r="J44" s="27"/>
      <c r="K44" s="27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37"/>
      <c r="W44" s="37"/>
    </row>
    <row r="45" spans="1:23" x14ac:dyDescent="0.2">
      <c r="A45" s="15" t="s">
        <v>22</v>
      </c>
      <c r="B45" s="5"/>
      <c r="C45" s="5"/>
      <c r="D45" s="5"/>
      <c r="E45" s="5"/>
      <c r="F45" s="5"/>
      <c r="G45" s="5"/>
      <c r="H45" s="5"/>
      <c r="I45" s="28">
        <v>28213</v>
      </c>
      <c r="J45" s="28">
        <v>25202</v>
      </c>
      <c r="K45" s="28">
        <v>25382</v>
      </c>
      <c r="L45" s="21">
        <f>SUM(L39:L44)</f>
        <v>26890.831373856006</v>
      </c>
      <c r="M45" s="21">
        <f t="shared" ref="M45:P45" si="36">SUM(M39:M44)</f>
        <v>27447.884008750782</v>
      </c>
      <c r="N45" s="21">
        <f t="shared" si="36"/>
        <v>28330.644682084392</v>
      </c>
      <c r="O45" s="21">
        <f t="shared" si="36"/>
        <v>29573.958574936652</v>
      </c>
      <c r="P45" s="21">
        <f t="shared" si="36"/>
        <v>32250.924751788934</v>
      </c>
      <c r="R45" s="67">
        <f>IFERROR((K45/J45)-1,0)</f>
        <v>7.1422902944211497E-3</v>
      </c>
      <c r="S45" s="67">
        <f t="shared" ref="S45:W45" si="37">IFERROR((L45/K45)-1,0)</f>
        <v>5.9444936327161191E-2</v>
      </c>
      <c r="T45" s="67">
        <f t="shared" si="37"/>
        <v>2.0715337028826664E-2</v>
      </c>
      <c r="U45" s="67">
        <f t="shared" si="37"/>
        <v>3.2161337939645041E-2</v>
      </c>
      <c r="V45" s="67">
        <f t="shared" si="37"/>
        <v>4.3885831289907085E-2</v>
      </c>
      <c r="W45" s="67">
        <f t="shared" si="37"/>
        <v>9.0517681969060293E-2</v>
      </c>
    </row>
    <row r="46" spans="1:23" x14ac:dyDescent="0.2">
      <c r="A46" s="13"/>
      <c r="I46" s="27"/>
      <c r="J46" s="32"/>
      <c r="K46" s="32"/>
      <c r="R46" s="37"/>
      <c r="S46" s="37"/>
      <c r="T46" s="37"/>
      <c r="U46" s="37"/>
      <c r="V46" s="37"/>
      <c r="W46" s="37"/>
    </row>
    <row r="47" spans="1:23" x14ac:dyDescent="0.2">
      <c r="A47" s="11" t="s">
        <v>43</v>
      </c>
      <c r="I47" s="27"/>
      <c r="J47" s="27"/>
      <c r="K47" s="27"/>
      <c r="R47" s="37"/>
      <c r="S47" s="37"/>
      <c r="T47" s="37"/>
      <c r="U47" s="37"/>
      <c r="V47" s="37"/>
      <c r="W47" s="37"/>
    </row>
    <row r="48" spans="1:23" x14ac:dyDescent="0.2">
      <c r="A48" s="14" t="s">
        <v>23</v>
      </c>
      <c r="F48" s="37" t="s">
        <v>165</v>
      </c>
      <c r="I48" s="32">
        <v>4791</v>
      </c>
      <c r="J48" s="27">
        <v>5081</v>
      </c>
      <c r="K48" s="27">
        <v>5000</v>
      </c>
      <c r="L48" s="36">
        <f>L158</f>
        <v>4989.5714285714284</v>
      </c>
      <c r="M48" s="36">
        <f t="shared" ref="M48:P48" si="38">M158</f>
        <v>4918.7142857142853</v>
      </c>
      <c r="N48" s="36">
        <f t="shared" si="38"/>
        <v>4787.4285714285706</v>
      </c>
      <c r="O48" s="36">
        <f t="shared" si="38"/>
        <v>4595.7142857142844</v>
      </c>
      <c r="P48" s="36">
        <f t="shared" si="38"/>
        <v>4343.5714285714275</v>
      </c>
      <c r="R48" s="84">
        <f>IFERROR((K48/J48)-1,0)</f>
        <v>-1.5941743751230031E-2</v>
      </c>
      <c r="S48" s="84">
        <f t="shared" ref="S48:W52" si="39">IFERROR((L48/K48)-1,0)</f>
        <v>-2.0857142857143574E-3</v>
      </c>
      <c r="T48" s="84">
        <f t="shared" si="39"/>
        <v>-1.4201047899905617E-2</v>
      </c>
      <c r="U48" s="84">
        <f t="shared" si="39"/>
        <v>-2.6691063285992356E-2</v>
      </c>
      <c r="V48" s="84">
        <f t="shared" si="39"/>
        <v>-4.0045356887085326E-2</v>
      </c>
      <c r="W48" s="84">
        <f t="shared" si="39"/>
        <v>-5.4864780851725192E-2</v>
      </c>
    </row>
    <row r="49" spans="1:23" x14ac:dyDescent="0.2">
      <c r="A49" s="14" t="s">
        <v>24</v>
      </c>
      <c r="B49" s="60">
        <v>0.01</v>
      </c>
      <c r="F49" s="37" t="s">
        <v>181</v>
      </c>
      <c r="I49" s="35">
        <v>2926</v>
      </c>
      <c r="J49" s="35">
        <v>2923</v>
      </c>
      <c r="K49" s="35">
        <v>2718</v>
      </c>
      <c r="L49" s="36">
        <f>K49*(1+$B$49)</f>
        <v>2745.18</v>
      </c>
      <c r="M49" s="36">
        <f t="shared" ref="M49:P49" si="40">L49*(1+$B$49)</f>
        <v>2772.6317999999997</v>
      </c>
      <c r="N49" s="36">
        <f t="shared" si="40"/>
        <v>2800.3581179999996</v>
      </c>
      <c r="O49" s="36">
        <f t="shared" si="40"/>
        <v>2828.3616991799995</v>
      </c>
      <c r="P49" s="36">
        <f t="shared" si="40"/>
        <v>2856.6453161717995</v>
      </c>
      <c r="R49" s="84">
        <f t="shared" ref="R49:R55" si="41">IFERROR((K49/J49)-1,0)</f>
        <v>-7.0133424563804336E-2</v>
      </c>
      <c r="S49" s="84">
        <f t="shared" si="39"/>
        <v>1.0000000000000009E-2</v>
      </c>
      <c r="T49" s="84">
        <f t="shared" si="39"/>
        <v>1.0000000000000009E-2</v>
      </c>
      <c r="U49" s="84">
        <f t="shared" si="39"/>
        <v>1.0000000000000009E-2</v>
      </c>
      <c r="V49" s="84">
        <f t="shared" si="39"/>
        <v>1.0000000000000009E-2</v>
      </c>
      <c r="W49" s="84">
        <f t="shared" si="39"/>
        <v>1.0000000000000009E-2</v>
      </c>
    </row>
    <row r="50" spans="1:23" x14ac:dyDescent="0.2">
      <c r="A50" s="14" t="s">
        <v>25</v>
      </c>
      <c r="F50" s="37" t="s">
        <v>180</v>
      </c>
      <c r="I50" s="35">
        <v>286</v>
      </c>
      <c r="J50" s="35">
        <v>274</v>
      </c>
      <c r="K50" s="35">
        <v>259</v>
      </c>
      <c r="L50" s="36">
        <f>K50-L31</f>
        <v>211</v>
      </c>
      <c r="M50" s="36">
        <f t="shared" ref="M50:P50" si="42">L50-M31</f>
        <v>163</v>
      </c>
      <c r="N50" s="36">
        <f t="shared" si="42"/>
        <v>115</v>
      </c>
      <c r="O50" s="36">
        <f t="shared" si="42"/>
        <v>67</v>
      </c>
      <c r="P50" s="36">
        <f t="shared" si="42"/>
        <v>19</v>
      </c>
      <c r="R50" s="84">
        <f t="shared" si="41"/>
        <v>-5.4744525547445244E-2</v>
      </c>
      <c r="S50" s="84">
        <f t="shared" si="39"/>
        <v>-0.18532818532818529</v>
      </c>
      <c r="T50" s="84">
        <f t="shared" si="39"/>
        <v>-0.22748815165876779</v>
      </c>
      <c r="U50" s="84">
        <f t="shared" si="39"/>
        <v>-0.29447852760736193</v>
      </c>
      <c r="V50" s="84">
        <f t="shared" si="39"/>
        <v>-0.41739130434782612</v>
      </c>
      <c r="W50" s="84">
        <f t="shared" si="39"/>
        <v>-0.71641791044776126</v>
      </c>
    </row>
    <row r="51" spans="1:23" x14ac:dyDescent="0.2">
      <c r="A51" s="14" t="s">
        <v>26</v>
      </c>
      <c r="F51" s="37" t="s">
        <v>179</v>
      </c>
      <c r="I51" s="27">
        <v>284</v>
      </c>
      <c r="J51" s="27">
        <v>281</v>
      </c>
      <c r="K51" s="27">
        <v>240</v>
      </c>
      <c r="L51" s="38">
        <v>240</v>
      </c>
      <c r="M51" s="38">
        <v>240</v>
      </c>
      <c r="N51" s="38">
        <v>240</v>
      </c>
      <c r="O51" s="38">
        <v>240</v>
      </c>
      <c r="P51" s="38">
        <v>240</v>
      </c>
      <c r="R51" s="84">
        <f t="shared" si="41"/>
        <v>-0.14590747330960852</v>
      </c>
      <c r="S51" s="84">
        <f t="shared" si="39"/>
        <v>0</v>
      </c>
      <c r="T51" s="84">
        <f t="shared" si="39"/>
        <v>0</v>
      </c>
      <c r="U51" s="84">
        <f t="shared" si="39"/>
        <v>0</v>
      </c>
      <c r="V51" s="84">
        <f t="shared" si="39"/>
        <v>0</v>
      </c>
      <c r="W51" s="84">
        <f t="shared" si="39"/>
        <v>0</v>
      </c>
    </row>
    <row r="52" spans="1:23" x14ac:dyDescent="0.2">
      <c r="A52" s="14" t="s">
        <v>27</v>
      </c>
      <c r="F52" s="37" t="s">
        <v>179</v>
      </c>
      <c r="I52" s="27">
        <v>3821</v>
      </c>
      <c r="J52" s="27">
        <v>3770</v>
      </c>
      <c r="K52" s="27">
        <v>4511</v>
      </c>
      <c r="L52" s="38">
        <v>4511</v>
      </c>
      <c r="M52" s="38">
        <v>4511</v>
      </c>
      <c r="N52" s="38">
        <v>4511</v>
      </c>
      <c r="O52" s="38">
        <v>4511</v>
      </c>
      <c r="P52" s="38">
        <v>4511</v>
      </c>
      <c r="R52" s="84">
        <f t="shared" si="41"/>
        <v>0.19655172413793109</v>
      </c>
      <c r="S52" s="84">
        <f t="shared" si="39"/>
        <v>0</v>
      </c>
      <c r="T52" s="84">
        <f t="shared" si="39"/>
        <v>0</v>
      </c>
      <c r="U52" s="84">
        <f t="shared" si="39"/>
        <v>0</v>
      </c>
      <c r="V52" s="84">
        <f t="shared" si="39"/>
        <v>0</v>
      </c>
      <c r="W52" s="84">
        <f t="shared" si="39"/>
        <v>0</v>
      </c>
    </row>
    <row r="53" spans="1:23" x14ac:dyDescent="0.2">
      <c r="A53" s="14"/>
      <c r="I53" s="27"/>
      <c r="J53" s="35"/>
      <c r="K53" s="27"/>
      <c r="R53" s="37"/>
      <c r="S53" s="37"/>
      <c r="T53" s="37"/>
      <c r="U53" s="37"/>
      <c r="V53" s="37"/>
      <c r="W53" s="37"/>
    </row>
    <row r="54" spans="1:23" x14ac:dyDescent="0.2">
      <c r="A54" s="15" t="s">
        <v>80</v>
      </c>
      <c r="B54" s="5"/>
      <c r="C54" s="5"/>
      <c r="D54" s="5"/>
      <c r="E54" s="5"/>
      <c r="F54" s="5"/>
      <c r="G54" s="5"/>
      <c r="H54" s="5"/>
      <c r="I54" s="28">
        <v>12108</v>
      </c>
      <c r="J54" s="28">
        <v>12329</v>
      </c>
      <c r="K54" s="28">
        <v>12728</v>
      </c>
      <c r="L54" s="39">
        <f>SUM(L48:L53)</f>
        <v>12696.751428571428</v>
      </c>
      <c r="M54" s="39">
        <f t="shared" ref="M54:P54" si="43">SUM(M48:M53)</f>
        <v>12605.346085714285</v>
      </c>
      <c r="N54" s="39">
        <f t="shared" si="43"/>
        <v>12453.786689428571</v>
      </c>
      <c r="O54" s="39">
        <f t="shared" si="43"/>
        <v>12242.075984894283</v>
      </c>
      <c r="P54" s="39">
        <f t="shared" si="43"/>
        <v>11970.216744743228</v>
      </c>
      <c r="R54" s="67">
        <f t="shared" si="41"/>
        <v>3.2362722037472702E-2</v>
      </c>
      <c r="S54" s="67">
        <f t="shared" ref="S54:S55" si="44">IFERROR((L54/K54)-1,0)</f>
        <v>-2.4551046062674109E-3</v>
      </c>
      <c r="T54" s="67">
        <f t="shared" ref="T54:T55" si="45">IFERROR((M54/L54)-1,0)</f>
        <v>-7.1991125739024886E-3</v>
      </c>
      <c r="U54" s="67">
        <f t="shared" ref="U54:U55" si="46">IFERROR((N54/M54)-1,0)</f>
        <v>-1.2023422066727574E-2</v>
      </c>
      <c r="V54" s="67">
        <f t="shared" ref="V54:V55" si="47">IFERROR((O54/N54)-1,0)</f>
        <v>-1.6999705375875585E-2</v>
      </c>
      <c r="W54" s="67">
        <f t="shared" ref="W54:W55" si="48">IFERROR((P54/O54)-1,0)</f>
        <v>-2.2206955788095728E-2</v>
      </c>
    </row>
    <row r="55" spans="1:23" x14ac:dyDescent="0.2">
      <c r="A55" s="17" t="s">
        <v>81</v>
      </c>
      <c r="B55" s="5"/>
      <c r="C55" s="16"/>
      <c r="D55" s="5"/>
      <c r="E55" s="16"/>
      <c r="F55" s="5"/>
      <c r="G55" s="5"/>
      <c r="H55" s="5"/>
      <c r="I55" s="28">
        <v>40321</v>
      </c>
      <c r="J55" s="28">
        <v>37531</v>
      </c>
      <c r="K55" s="28">
        <v>38110</v>
      </c>
      <c r="L55" s="101">
        <f>L45+L54</f>
        <v>39587.582802427438</v>
      </c>
      <c r="M55" s="101">
        <f t="shared" ref="M55:P55" si="49">M45+M54</f>
        <v>40053.230094465063</v>
      </c>
      <c r="N55" s="101">
        <f t="shared" si="49"/>
        <v>40784.431371512961</v>
      </c>
      <c r="O55" s="101">
        <f t="shared" si="49"/>
        <v>41816.034559830936</v>
      </c>
      <c r="P55" s="101">
        <f t="shared" si="49"/>
        <v>44221.14149653216</v>
      </c>
      <c r="R55" s="67">
        <f t="shared" si="41"/>
        <v>1.5427246809304407E-2</v>
      </c>
      <c r="S55" s="67">
        <f t="shared" si="44"/>
        <v>3.8771524597938534E-2</v>
      </c>
      <c r="T55" s="67">
        <f t="shared" si="45"/>
        <v>1.1762458303189671E-2</v>
      </c>
      <c r="U55" s="67">
        <f t="shared" si="46"/>
        <v>1.8255738059661297E-2</v>
      </c>
      <c r="V55" s="67">
        <f t="shared" si="47"/>
        <v>2.5294043673697697E-2</v>
      </c>
      <c r="W55" s="67">
        <f t="shared" si="48"/>
        <v>5.7516380068511008E-2</v>
      </c>
    </row>
    <row r="56" spans="1:23" x14ac:dyDescent="0.2">
      <c r="A56" s="12"/>
      <c r="C56" s="12"/>
      <c r="E56" s="12"/>
      <c r="I56" s="27"/>
      <c r="J56" s="34"/>
      <c r="K56" s="27"/>
      <c r="R56" s="37"/>
      <c r="S56" s="37"/>
      <c r="T56" s="37"/>
      <c r="U56" s="37"/>
      <c r="V56" s="37"/>
      <c r="W56" s="37"/>
    </row>
    <row r="57" spans="1:23" x14ac:dyDescent="0.2">
      <c r="A57" s="12" t="s">
        <v>28</v>
      </c>
      <c r="I57" s="27"/>
      <c r="J57" s="27"/>
      <c r="R57" s="37"/>
      <c r="S57" s="37"/>
      <c r="T57" s="37"/>
      <c r="U57" s="37"/>
      <c r="V57" s="37"/>
      <c r="W57" s="37"/>
    </row>
    <row r="58" spans="1:23" x14ac:dyDescent="0.2">
      <c r="A58" s="11" t="s">
        <v>29</v>
      </c>
      <c r="I58" s="27"/>
      <c r="J58" s="27"/>
      <c r="K58" s="27"/>
      <c r="R58" s="37"/>
      <c r="S58" s="37"/>
      <c r="T58" s="37"/>
      <c r="U58" s="37"/>
      <c r="V58" s="37"/>
      <c r="W58" s="37"/>
    </row>
    <row r="59" spans="1:23" x14ac:dyDescent="0.2">
      <c r="A59" s="14" t="s">
        <v>30</v>
      </c>
      <c r="C59" s="11"/>
      <c r="E59" s="11"/>
      <c r="F59" s="59" t="s">
        <v>182</v>
      </c>
      <c r="I59" s="35">
        <v>500</v>
      </c>
      <c r="J59" s="109">
        <v>0</v>
      </c>
      <c r="K59" s="35">
        <v>1000</v>
      </c>
      <c r="L59" s="36">
        <f>L196*-1</f>
        <v>1000</v>
      </c>
      <c r="M59" s="36">
        <f t="shared" ref="M59:P59" si="50">M196*-1</f>
        <v>1000</v>
      </c>
      <c r="N59" s="36">
        <f t="shared" si="50"/>
        <v>1000</v>
      </c>
      <c r="O59" s="36">
        <f t="shared" si="50"/>
        <v>0</v>
      </c>
      <c r="P59" s="36">
        <f t="shared" si="50"/>
        <v>0</v>
      </c>
      <c r="R59" s="65">
        <f>IFERROR((K59/J59)-1,0)</f>
        <v>0</v>
      </c>
      <c r="S59" s="65">
        <f t="shared" ref="S59:W60" si="51">IFERROR((L59/K59)-1,0)</f>
        <v>0</v>
      </c>
      <c r="T59" s="65">
        <f t="shared" si="51"/>
        <v>0</v>
      </c>
      <c r="U59" s="65">
        <f t="shared" si="51"/>
        <v>0</v>
      </c>
      <c r="V59" s="65">
        <f>IFERROR((O59/N59)-1,0)</f>
        <v>-1</v>
      </c>
      <c r="W59" s="65">
        <f>IFERROR((P59/O59)-1,0)</f>
        <v>0</v>
      </c>
    </row>
    <row r="60" spans="1:23" x14ac:dyDescent="0.2">
      <c r="A60" s="14" t="s">
        <v>31</v>
      </c>
      <c r="F60" s="37" t="s">
        <v>183</v>
      </c>
      <c r="I60" s="27">
        <v>10</v>
      </c>
      <c r="J60" s="27">
        <v>6</v>
      </c>
      <c r="K60" s="27">
        <v>6</v>
      </c>
      <c r="L60" s="38">
        <v>6</v>
      </c>
      <c r="M60" s="38">
        <v>6</v>
      </c>
      <c r="N60" s="38">
        <v>6</v>
      </c>
      <c r="O60" s="38">
        <v>6</v>
      </c>
      <c r="P60" s="38">
        <v>6</v>
      </c>
      <c r="R60" s="65">
        <f>IFERROR((K60/J60)-1,0)</f>
        <v>0</v>
      </c>
      <c r="S60" s="65">
        <f t="shared" si="51"/>
        <v>0</v>
      </c>
      <c r="T60" s="65">
        <f t="shared" si="51"/>
        <v>0</v>
      </c>
      <c r="U60" s="65">
        <f t="shared" si="51"/>
        <v>0</v>
      </c>
      <c r="V60" s="65">
        <f t="shared" si="51"/>
        <v>0</v>
      </c>
      <c r="W60" s="65">
        <f t="shared" si="51"/>
        <v>0</v>
      </c>
    </row>
    <row r="61" spans="1:23" x14ac:dyDescent="0.2">
      <c r="A61" s="14" t="s">
        <v>32</v>
      </c>
      <c r="F61" s="37" t="s">
        <v>185</v>
      </c>
      <c r="I61" s="27">
        <v>3358</v>
      </c>
      <c r="J61" s="27">
        <v>2862</v>
      </c>
      <c r="K61" s="27">
        <v>2851</v>
      </c>
      <c r="L61" s="74">
        <f>L137</f>
        <v>3022.8823664383563</v>
      </c>
      <c r="M61" s="74">
        <f t="shared" ref="M61:P61" si="52">M137</f>
        <v>3083.3400137671233</v>
      </c>
      <c r="N61" s="74">
        <f t="shared" si="52"/>
        <v>3206.6736143178082</v>
      </c>
      <c r="O61" s="74">
        <f t="shared" si="52"/>
        <v>3367.0072950336994</v>
      </c>
      <c r="P61" s="74">
        <f t="shared" si="52"/>
        <v>3569.0277327357217</v>
      </c>
      <c r="R61" s="65">
        <f>IFERROR((K61/J61)-1,0)</f>
        <v>-3.8434661076170995E-3</v>
      </c>
      <c r="S61" s="65">
        <f t="shared" ref="S61:W62" si="53">IFERROR((L61/K61)-1,0)</f>
        <v>6.0288448417522345E-2</v>
      </c>
      <c r="T61" s="65">
        <f t="shared" si="53"/>
        <v>2.0000000000000018E-2</v>
      </c>
      <c r="U61" s="65">
        <f t="shared" si="53"/>
        <v>4.0000000000000036E-2</v>
      </c>
      <c r="V61" s="65">
        <f t="shared" si="53"/>
        <v>5.0000000000000266E-2</v>
      </c>
      <c r="W61" s="65">
        <f t="shared" si="53"/>
        <v>6.0000000000000053E-2</v>
      </c>
    </row>
    <row r="62" spans="1:23" x14ac:dyDescent="0.2">
      <c r="A62" s="14" t="s">
        <v>33</v>
      </c>
      <c r="F62" s="37" t="s">
        <v>183</v>
      </c>
      <c r="I62" s="27">
        <v>420</v>
      </c>
      <c r="J62" s="27">
        <v>425</v>
      </c>
      <c r="K62" s="27">
        <v>477</v>
      </c>
      <c r="L62" s="38">
        <v>477</v>
      </c>
      <c r="M62" s="38">
        <v>477</v>
      </c>
      <c r="N62" s="38">
        <v>477</v>
      </c>
      <c r="O62" s="38">
        <v>477</v>
      </c>
      <c r="P62" s="38">
        <v>477</v>
      </c>
      <c r="R62" s="65">
        <f>IFERROR((K62/J62)-1,0)</f>
        <v>0.12235294117647055</v>
      </c>
      <c r="S62" s="65">
        <f t="shared" si="53"/>
        <v>0</v>
      </c>
      <c r="T62" s="65">
        <f t="shared" si="53"/>
        <v>0</v>
      </c>
      <c r="U62" s="65">
        <f t="shared" si="53"/>
        <v>0</v>
      </c>
      <c r="V62" s="65">
        <f t="shared" si="53"/>
        <v>0</v>
      </c>
      <c r="W62" s="65">
        <f t="shared" si="53"/>
        <v>0</v>
      </c>
    </row>
    <row r="63" spans="1:23" x14ac:dyDescent="0.2">
      <c r="A63" s="14" t="s">
        <v>34</v>
      </c>
      <c r="F63" s="59" t="s">
        <v>185</v>
      </c>
      <c r="I63" s="27">
        <v>6220</v>
      </c>
      <c r="J63" s="27">
        <v>5723</v>
      </c>
      <c r="K63" s="27">
        <v>5725</v>
      </c>
      <c r="L63" s="36">
        <f>L138</f>
        <v>6194.2571999999991</v>
      </c>
      <c r="M63" s="36">
        <f t="shared" ref="M63:P63" si="54">M138</f>
        <v>6318.142343999999</v>
      </c>
      <c r="N63" s="36">
        <f t="shared" si="54"/>
        <v>6570.8680377600003</v>
      </c>
      <c r="O63" s="36">
        <f t="shared" si="54"/>
        <v>6899.4114396480009</v>
      </c>
      <c r="P63" s="36">
        <f t="shared" si="54"/>
        <v>7313.3761260268802</v>
      </c>
      <c r="R63" s="65">
        <f>IFERROR((K63/J63)-1,0)</f>
        <v>3.4946706272931394E-4</v>
      </c>
      <c r="S63" s="65">
        <f>IFERROR((L63/K63)-1,0)</f>
        <v>8.1966323144104569E-2</v>
      </c>
      <c r="T63" s="65">
        <f>IFERROR((M63/L63)-1,0)</f>
        <v>2.0000000000000018E-2</v>
      </c>
      <c r="U63" s="65">
        <f t="shared" ref="U63:W64" si="55">IFERROR((N63/M63)-1,0)</f>
        <v>4.0000000000000258E-2</v>
      </c>
      <c r="V63" s="65">
        <f t="shared" si="55"/>
        <v>5.0000000000000044E-2</v>
      </c>
      <c r="W63" s="65">
        <f t="shared" si="55"/>
        <v>5.9999999999999831E-2</v>
      </c>
    </row>
    <row r="64" spans="1:23" ht="16" x14ac:dyDescent="0.2">
      <c r="A64" s="14" t="s">
        <v>35</v>
      </c>
      <c r="B64"/>
      <c r="F64" s="37" t="s">
        <v>187</v>
      </c>
      <c r="I64" s="27">
        <v>222</v>
      </c>
      <c r="J64" s="27">
        <v>240</v>
      </c>
      <c r="K64" s="27">
        <v>534</v>
      </c>
      <c r="L64" s="55" cm="1">
        <f t="array" ref="L64:P64">L150:P150</f>
        <v>761.7977239980728</v>
      </c>
      <c r="M64" s="55">
        <v>1007.1044024761075</v>
      </c>
      <c r="N64" s="55">
        <v>1288.1293480932634</v>
      </c>
      <c r="O64" s="55">
        <v>1615.588040991277</v>
      </c>
      <c r="P64" s="55">
        <v>2001.5532554631714</v>
      </c>
      <c r="R64" s="65">
        <f>IFERROR((K64/J64)-1,0)</f>
        <v>1.2250000000000001</v>
      </c>
      <c r="S64" s="65">
        <f t="shared" ref="S64:T64" si="56">IFERROR((L64/K64)-1,0)</f>
        <v>0.42658749812373187</v>
      </c>
      <c r="T64" s="65">
        <f t="shared" si="56"/>
        <v>0.32201025383826853</v>
      </c>
      <c r="U64" s="65">
        <f t="shared" si="55"/>
        <v>0.27904251528065682</v>
      </c>
      <c r="V64" s="65">
        <f t="shared" si="55"/>
        <v>0.25421258616825249</v>
      </c>
      <c r="W64" s="65">
        <f t="shared" si="55"/>
        <v>0.23890076224820134</v>
      </c>
    </row>
    <row r="65" spans="1:23" x14ac:dyDescent="0.2">
      <c r="A65" s="14"/>
      <c r="J65" s="76"/>
      <c r="K65" s="76"/>
      <c r="R65" s="37"/>
      <c r="S65" s="37"/>
      <c r="T65" s="37"/>
      <c r="U65" s="37"/>
      <c r="V65" s="37"/>
      <c r="W65" s="37"/>
    </row>
    <row r="66" spans="1:23" x14ac:dyDescent="0.2">
      <c r="A66" s="17" t="s">
        <v>36</v>
      </c>
      <c r="B66" s="5"/>
      <c r="C66" s="5"/>
      <c r="D66" s="5"/>
      <c r="E66" s="5"/>
      <c r="F66" s="5"/>
      <c r="G66" s="5"/>
      <c r="H66" s="5"/>
      <c r="I66" s="28">
        <v>10730</v>
      </c>
      <c r="J66" s="28">
        <v>9256</v>
      </c>
      <c r="K66" s="28">
        <v>10593</v>
      </c>
      <c r="L66" s="61">
        <f>SUM(L59:L65)</f>
        <v>11461.937290436428</v>
      </c>
      <c r="M66" s="61">
        <f t="shared" ref="M66:P66" si="57">SUM(M59:M65)</f>
        <v>11891.58676024323</v>
      </c>
      <c r="N66" s="61">
        <f t="shared" si="57"/>
        <v>12548.671000171073</v>
      </c>
      <c r="O66" s="61">
        <f t="shared" si="57"/>
        <v>12365.006775672977</v>
      </c>
      <c r="P66" s="61">
        <f t="shared" si="57"/>
        <v>13366.957114225774</v>
      </c>
      <c r="R66" s="67">
        <f>IFERROR((K66/J66)-1,0)</f>
        <v>0.14444684528954199</v>
      </c>
      <c r="S66" s="67">
        <f t="shared" ref="S66:W66" si="58">IFERROR((L66/K66)-1,0)</f>
        <v>8.202938642843649E-2</v>
      </c>
      <c r="T66" s="67">
        <f t="shared" si="58"/>
        <v>3.7484890984815555E-2</v>
      </c>
      <c r="U66" s="67">
        <f t="shared" si="58"/>
        <v>5.5256228893241666E-2</v>
      </c>
      <c r="V66" s="67">
        <f t="shared" si="58"/>
        <v>-1.4636149477151195E-2</v>
      </c>
      <c r="W66" s="67">
        <f t="shared" si="58"/>
        <v>8.1031119248882399E-2</v>
      </c>
    </row>
    <row r="67" spans="1:23" x14ac:dyDescent="0.2">
      <c r="A67" s="11"/>
      <c r="I67" s="27"/>
      <c r="J67" s="32"/>
      <c r="K67" s="32"/>
      <c r="R67" s="37"/>
      <c r="S67" s="37"/>
      <c r="T67" s="37"/>
      <c r="U67" s="37"/>
      <c r="V67" s="37"/>
      <c r="W67" s="37"/>
    </row>
    <row r="68" spans="1:23" x14ac:dyDescent="0.2">
      <c r="A68" s="11" t="s">
        <v>44</v>
      </c>
      <c r="I68" s="27"/>
      <c r="J68" s="54"/>
      <c r="K68" s="32"/>
      <c r="R68" s="37"/>
      <c r="S68" s="37"/>
      <c r="T68" s="37"/>
      <c r="U68" s="37"/>
      <c r="V68" s="37"/>
      <c r="W68" s="37"/>
    </row>
    <row r="69" spans="1:23" x14ac:dyDescent="0.2">
      <c r="A69" s="14" t="s">
        <v>37</v>
      </c>
      <c r="F69" s="37" t="s">
        <v>188</v>
      </c>
      <c r="I69" s="32">
        <v>8920</v>
      </c>
      <c r="J69" s="27">
        <v>8927</v>
      </c>
      <c r="K69" s="27">
        <v>7903</v>
      </c>
      <c r="L69" s="74">
        <f>L185</f>
        <v>6903</v>
      </c>
      <c r="M69" s="74">
        <f t="shared" ref="M69:P69" si="59">M185</f>
        <v>5903</v>
      </c>
      <c r="N69" s="74">
        <f t="shared" si="59"/>
        <v>4903</v>
      </c>
      <c r="O69" s="74">
        <f t="shared" si="59"/>
        <v>4903</v>
      </c>
      <c r="P69" s="74">
        <f t="shared" si="59"/>
        <v>4903</v>
      </c>
      <c r="R69" s="65">
        <f>IFERROR((K69/J69)-1,0)</f>
        <v>-0.1147081886412008</v>
      </c>
      <c r="S69" s="65">
        <f t="shared" ref="S69:W71" si="60">IFERROR((L69/K69)-1,0)</f>
        <v>-0.12653422750854104</v>
      </c>
      <c r="T69" s="65">
        <f t="shared" si="60"/>
        <v>-0.14486455164421264</v>
      </c>
      <c r="U69" s="65">
        <f t="shared" si="60"/>
        <v>-0.16940538709130948</v>
      </c>
      <c r="V69" s="65">
        <f t="shared" si="60"/>
        <v>0</v>
      </c>
      <c r="W69" s="65">
        <f t="shared" si="60"/>
        <v>0</v>
      </c>
    </row>
    <row r="70" spans="1:23" x14ac:dyDescent="0.2">
      <c r="A70" s="14" t="s">
        <v>38</v>
      </c>
      <c r="F70" s="37" t="s">
        <v>183</v>
      </c>
      <c r="I70" s="32">
        <v>2777</v>
      </c>
      <c r="J70" s="27">
        <v>2786</v>
      </c>
      <c r="K70" s="27">
        <v>2566</v>
      </c>
      <c r="L70" s="38">
        <v>2566</v>
      </c>
      <c r="M70" s="38">
        <v>2566</v>
      </c>
      <c r="N70" s="38">
        <v>2566</v>
      </c>
      <c r="O70" s="38">
        <v>2566</v>
      </c>
      <c r="P70" s="38">
        <v>2566</v>
      </c>
      <c r="R70" s="65">
        <f>IFERROR((K70/J70)-1,0)</f>
        <v>-7.8966259870782429E-2</v>
      </c>
      <c r="S70" s="65">
        <f t="shared" si="60"/>
        <v>0</v>
      </c>
      <c r="T70" s="65">
        <f t="shared" si="60"/>
        <v>0</v>
      </c>
      <c r="U70" s="65">
        <f t="shared" si="60"/>
        <v>0</v>
      </c>
      <c r="V70" s="65">
        <f t="shared" si="60"/>
        <v>0</v>
      </c>
      <c r="W70" s="65">
        <f t="shared" si="60"/>
        <v>0</v>
      </c>
    </row>
    <row r="71" spans="1:23" x14ac:dyDescent="0.2">
      <c r="A71" s="14" t="s">
        <v>39</v>
      </c>
      <c r="F71" s="37" t="s">
        <v>183</v>
      </c>
      <c r="I71" s="27">
        <v>2613</v>
      </c>
      <c r="J71" s="27">
        <v>2558</v>
      </c>
      <c r="K71" s="27">
        <v>2618</v>
      </c>
      <c r="L71" s="38">
        <v>2618</v>
      </c>
      <c r="M71" s="38">
        <v>2618</v>
      </c>
      <c r="N71" s="38">
        <v>2618</v>
      </c>
      <c r="O71" s="38">
        <v>2618</v>
      </c>
      <c r="P71" s="38">
        <v>2618</v>
      </c>
      <c r="R71" s="65">
        <f>IFERROR((K71/J71)-1,0)</f>
        <v>2.3455824863174435E-2</v>
      </c>
      <c r="S71" s="65">
        <f t="shared" si="60"/>
        <v>0</v>
      </c>
      <c r="T71" s="65">
        <f t="shared" si="60"/>
        <v>0</v>
      </c>
      <c r="U71" s="65">
        <f t="shared" si="60"/>
        <v>0</v>
      </c>
      <c r="V71" s="65">
        <f t="shared" si="60"/>
        <v>0</v>
      </c>
      <c r="W71" s="65">
        <f t="shared" si="60"/>
        <v>0</v>
      </c>
    </row>
    <row r="72" spans="1:23" x14ac:dyDescent="0.2">
      <c r="A72" s="14"/>
      <c r="I72" s="27"/>
      <c r="J72" s="27"/>
      <c r="K72" s="27"/>
      <c r="R72" s="37"/>
      <c r="S72" s="37"/>
      <c r="T72" s="37"/>
      <c r="U72" s="37"/>
      <c r="V72" s="37"/>
      <c r="W72" s="37"/>
    </row>
    <row r="73" spans="1:23" x14ac:dyDescent="0.2">
      <c r="A73" s="17" t="s">
        <v>45</v>
      </c>
      <c r="B73" s="5"/>
      <c r="C73" s="5"/>
      <c r="D73" s="5"/>
      <c r="E73" s="5"/>
      <c r="F73" s="5"/>
      <c r="G73" s="5"/>
      <c r="H73" s="5"/>
      <c r="I73" s="28">
        <v>14310</v>
      </c>
      <c r="J73" s="28">
        <v>14271</v>
      </c>
      <c r="K73" s="28">
        <v>13087</v>
      </c>
      <c r="L73" s="101">
        <f>SUM(L69:L71)</f>
        <v>12087</v>
      </c>
      <c r="M73" s="101">
        <f t="shared" ref="M73:P73" si="61">SUM(M69:M71)</f>
        <v>11087</v>
      </c>
      <c r="N73" s="101">
        <f t="shared" si="61"/>
        <v>10087</v>
      </c>
      <c r="O73" s="101">
        <f t="shared" si="61"/>
        <v>10087</v>
      </c>
      <c r="P73" s="101">
        <f t="shared" si="61"/>
        <v>10087</v>
      </c>
      <c r="R73" s="67">
        <f>IFERROR((K73/J73)-1,0)</f>
        <v>-8.2965454418050588E-2</v>
      </c>
      <c r="S73" s="67">
        <f t="shared" ref="S73:W74" si="62">IFERROR((L73/K73)-1,0)</f>
        <v>-7.6411706273401103E-2</v>
      </c>
      <c r="T73" s="67">
        <f t="shared" si="62"/>
        <v>-8.2733515347067077E-2</v>
      </c>
      <c r="U73" s="67">
        <f t="shared" si="62"/>
        <v>-9.0195724722648141E-2</v>
      </c>
      <c r="V73" s="67">
        <f t="shared" si="62"/>
        <v>0</v>
      </c>
      <c r="W73" s="67">
        <f t="shared" si="62"/>
        <v>0</v>
      </c>
    </row>
    <row r="74" spans="1:23" x14ac:dyDescent="0.2">
      <c r="A74" s="17" t="s">
        <v>82</v>
      </c>
      <c r="B74" s="5"/>
      <c r="C74" s="5"/>
      <c r="D74" s="5"/>
      <c r="E74" s="5"/>
      <c r="F74" s="5"/>
      <c r="G74" s="5"/>
      <c r="H74" s="5"/>
      <c r="I74" s="28">
        <v>25040</v>
      </c>
      <c r="J74" s="28">
        <v>23527</v>
      </c>
      <c r="K74" s="28">
        <v>23680</v>
      </c>
      <c r="L74" s="101">
        <f>SUM(L73+L66)</f>
        <v>23548.937290436428</v>
      </c>
      <c r="M74" s="101">
        <f t="shared" ref="M74:P74" si="63">SUM(M73+M66)</f>
        <v>22978.58676024323</v>
      </c>
      <c r="N74" s="101">
        <f t="shared" si="63"/>
        <v>22635.671000171074</v>
      </c>
      <c r="O74" s="101">
        <f t="shared" si="63"/>
        <v>22452.006775672977</v>
      </c>
      <c r="P74" s="101">
        <f t="shared" si="63"/>
        <v>23453.957114225774</v>
      </c>
      <c r="R74" s="67">
        <f>IFERROR((K74/J74)-1,0)</f>
        <v>6.5031665745738376E-3</v>
      </c>
      <c r="S74" s="67">
        <f t="shared" si="62"/>
        <v>-5.5347428025157575E-3</v>
      </c>
      <c r="T74" s="67">
        <f t="shared" si="62"/>
        <v>-2.4219799100014039E-2</v>
      </c>
      <c r="U74" s="67">
        <f t="shared" si="62"/>
        <v>-1.4923274596915448E-2</v>
      </c>
      <c r="V74" s="67">
        <f t="shared" si="62"/>
        <v>-8.1139288734453086E-3</v>
      </c>
      <c r="W74" s="67">
        <f t="shared" si="62"/>
        <v>4.4626315525542415E-2</v>
      </c>
    </row>
    <row r="75" spans="1:23" x14ac:dyDescent="0.2">
      <c r="A75" s="11"/>
      <c r="I75" s="32"/>
      <c r="J75" s="32"/>
      <c r="K75" s="32"/>
      <c r="R75" s="37"/>
      <c r="S75" s="37"/>
      <c r="T75" s="37"/>
      <c r="U75" s="37"/>
      <c r="V75" s="37"/>
      <c r="W75" s="37"/>
    </row>
    <row r="76" spans="1:23" x14ac:dyDescent="0.2">
      <c r="A76" s="11" t="s">
        <v>40</v>
      </c>
      <c r="I76" s="27"/>
      <c r="J76" s="27"/>
      <c r="K76" s="27"/>
      <c r="R76" s="37"/>
      <c r="S76" s="37"/>
      <c r="T76" s="37"/>
      <c r="U76" s="37"/>
      <c r="V76" s="37"/>
      <c r="W76" s="37"/>
    </row>
    <row r="77" spans="1:23" x14ac:dyDescent="0.2">
      <c r="A77" s="11" t="s">
        <v>87</v>
      </c>
      <c r="I77" s="108">
        <v>0</v>
      </c>
      <c r="J77" s="108">
        <v>0</v>
      </c>
      <c r="K77" s="108">
        <v>0</v>
      </c>
      <c r="L77" s="110">
        <v>0</v>
      </c>
      <c r="M77" s="110">
        <v>0</v>
      </c>
      <c r="N77" s="110">
        <v>0</v>
      </c>
      <c r="O77" s="110">
        <v>0</v>
      </c>
      <c r="P77" s="110">
        <v>0</v>
      </c>
      <c r="R77" s="65">
        <f>IFERROR((K77/J77)-1,0)</f>
        <v>0</v>
      </c>
      <c r="S77" s="65">
        <f t="shared" ref="S77:W78" si="64">IFERROR((L77/K77)-1,0)</f>
        <v>0</v>
      </c>
      <c r="T77" s="65">
        <f t="shared" si="64"/>
        <v>0</v>
      </c>
      <c r="U77" s="65">
        <f t="shared" si="64"/>
        <v>0</v>
      </c>
      <c r="V77" s="65">
        <f t="shared" si="64"/>
        <v>0</v>
      </c>
      <c r="W77" s="65">
        <f t="shared" si="64"/>
        <v>0</v>
      </c>
    </row>
    <row r="78" spans="1:23" x14ac:dyDescent="0.2">
      <c r="A78" s="11" t="s">
        <v>88</v>
      </c>
      <c r="F78" s="37" t="s">
        <v>183</v>
      </c>
      <c r="I78" s="108">
        <v>3</v>
      </c>
      <c r="J78" s="108">
        <v>3</v>
      </c>
      <c r="K78" s="108">
        <v>3</v>
      </c>
      <c r="L78" s="38">
        <v>3</v>
      </c>
      <c r="M78" s="38">
        <v>3</v>
      </c>
      <c r="N78" s="38">
        <v>3</v>
      </c>
      <c r="O78" s="38">
        <v>3</v>
      </c>
      <c r="P78" s="38">
        <v>3</v>
      </c>
      <c r="R78" s="65">
        <f>IFERROR((K78/J78)-1,0)</f>
        <v>0</v>
      </c>
      <c r="S78" s="65">
        <f t="shared" si="64"/>
        <v>0</v>
      </c>
      <c r="T78" s="65">
        <f t="shared" si="64"/>
        <v>0</v>
      </c>
      <c r="U78" s="65">
        <f t="shared" si="64"/>
        <v>0</v>
      </c>
      <c r="V78" s="65">
        <f t="shared" si="64"/>
        <v>0</v>
      </c>
      <c r="W78" s="65">
        <f t="shared" si="64"/>
        <v>0</v>
      </c>
    </row>
    <row r="79" spans="1:23" x14ac:dyDescent="0.2">
      <c r="A79" s="14" t="s">
        <v>41</v>
      </c>
      <c r="F79" s="37" t="s">
        <v>183</v>
      </c>
      <c r="I79" s="27">
        <v>11484</v>
      </c>
      <c r="J79" s="27">
        <v>12412</v>
      </c>
      <c r="K79" s="27">
        <v>13409</v>
      </c>
      <c r="L79" s="38">
        <v>13409</v>
      </c>
      <c r="M79" s="38">
        <v>13409</v>
      </c>
      <c r="N79" s="38">
        <v>13409</v>
      </c>
      <c r="O79" s="38">
        <v>13409</v>
      </c>
      <c r="P79" s="38">
        <v>13409</v>
      </c>
      <c r="R79" s="65">
        <f>IFERROR((K79/J79)-1,0)</f>
        <v>8.0325491459877441E-2</v>
      </c>
      <c r="S79" s="65">
        <f t="shared" ref="S79:W80" si="65">IFERROR((L79/K79)-1,0)</f>
        <v>0</v>
      </c>
      <c r="T79" s="65">
        <f t="shared" si="65"/>
        <v>0</v>
      </c>
      <c r="U79" s="65">
        <f t="shared" si="65"/>
        <v>0</v>
      </c>
      <c r="V79" s="65">
        <f t="shared" si="65"/>
        <v>0</v>
      </c>
      <c r="W79" s="65">
        <f t="shared" si="65"/>
        <v>0</v>
      </c>
    </row>
    <row r="80" spans="1:23" x14ac:dyDescent="0.2">
      <c r="A80" s="14" t="s">
        <v>114</v>
      </c>
      <c r="F80" s="37" t="s">
        <v>183</v>
      </c>
      <c r="I80" s="27">
        <v>318</v>
      </c>
      <c r="J80" s="27">
        <v>231</v>
      </c>
      <c r="K80" s="27">
        <v>53</v>
      </c>
      <c r="L80" s="38">
        <v>53</v>
      </c>
      <c r="M80" s="38">
        <v>53</v>
      </c>
      <c r="N80" s="38">
        <v>53</v>
      </c>
      <c r="O80" s="38">
        <v>53</v>
      </c>
      <c r="P80" s="38">
        <v>53</v>
      </c>
      <c r="R80" s="65">
        <f>IFERROR((K80/J80)-1,0)</f>
        <v>-0.77056277056277056</v>
      </c>
      <c r="S80" s="65">
        <f t="shared" si="65"/>
        <v>0</v>
      </c>
      <c r="T80" s="65">
        <f t="shared" si="65"/>
        <v>0</v>
      </c>
      <c r="U80" s="65">
        <f t="shared" si="65"/>
        <v>0</v>
      </c>
      <c r="V80" s="65">
        <f t="shared" si="65"/>
        <v>0</v>
      </c>
      <c r="W80" s="65">
        <f t="shared" si="65"/>
        <v>0</v>
      </c>
    </row>
    <row r="81" spans="1:23" x14ac:dyDescent="0.2">
      <c r="A81" s="117" t="s">
        <v>113</v>
      </c>
      <c r="F81" s="125" t="s">
        <v>197</v>
      </c>
      <c r="I81" s="27">
        <v>3476</v>
      </c>
      <c r="J81" s="27">
        <v>1358</v>
      </c>
      <c r="K81" s="27">
        <v>965</v>
      </c>
      <c r="L81" s="95">
        <f>K81+L27-(3683)</f>
        <v>2573.5204359890804</v>
      </c>
      <c r="M81" s="95">
        <f>L81+M27-4355</f>
        <v>3609.2582806979435</v>
      </c>
      <c r="N81" s="95">
        <f>M81+N27-4519</f>
        <v>4683.3996391951605</v>
      </c>
      <c r="O81" s="95">
        <f>N81+O27-4641</f>
        <v>5898.6655656172388</v>
      </c>
      <c r="P81" s="95">
        <f>O81+P27-4784</f>
        <v>7302.4684476246402</v>
      </c>
      <c r="R81" s="65">
        <f>IFERROR((K81/J81)-1,0)</f>
        <v>-0.28939617083946978</v>
      </c>
      <c r="S81" s="65">
        <f>IFERROR((L81/K81)-1,0)</f>
        <v>1.6668605554290989</v>
      </c>
      <c r="T81" s="65">
        <f t="shared" ref="T81:W81" si="66">IFERROR((M81/L81)-1,0)</f>
        <v>0.40245953761420128</v>
      </c>
      <c r="U81" s="65">
        <f t="shared" si="66"/>
        <v>0.29760722978503606</v>
      </c>
      <c r="V81" s="65">
        <f t="shared" si="66"/>
        <v>0.25948371269698467</v>
      </c>
      <c r="W81" s="65">
        <f t="shared" si="66"/>
        <v>0.23798651854243702</v>
      </c>
    </row>
    <row r="82" spans="1:23" x14ac:dyDescent="0.2">
      <c r="A82" s="14"/>
      <c r="I82" s="27"/>
      <c r="J82" s="27"/>
      <c r="K82" s="27"/>
      <c r="L82" s="27"/>
      <c r="M82" s="27"/>
      <c r="N82" s="27"/>
      <c r="O82" s="27"/>
      <c r="P82" s="27"/>
      <c r="R82" s="37"/>
      <c r="S82" s="37"/>
      <c r="T82" s="37"/>
      <c r="U82" s="37"/>
      <c r="V82" s="37"/>
      <c r="W82" s="37"/>
    </row>
    <row r="83" spans="1:23" x14ac:dyDescent="0.2">
      <c r="A83" s="17" t="s">
        <v>42</v>
      </c>
      <c r="B83" s="5"/>
      <c r="C83" s="5"/>
      <c r="D83" s="5"/>
      <c r="E83" s="5"/>
      <c r="F83" s="5"/>
      <c r="G83" s="5"/>
      <c r="H83" s="5"/>
      <c r="I83" s="28">
        <v>15281</v>
      </c>
      <c r="J83" s="28">
        <v>14004</v>
      </c>
      <c r="K83" s="28">
        <v>14430</v>
      </c>
      <c r="L83" s="39">
        <f>SUM(L77:L82)</f>
        <v>16038.520435989081</v>
      </c>
      <c r="M83" s="39">
        <f t="shared" ref="M83:P83" si="67">SUM(M77:M82)</f>
        <v>17074.258280697944</v>
      </c>
      <c r="N83" s="39">
        <f t="shared" si="67"/>
        <v>18148.399639195159</v>
      </c>
      <c r="O83" s="39">
        <f t="shared" si="67"/>
        <v>19363.665565617237</v>
      </c>
      <c r="P83" s="39">
        <f t="shared" si="67"/>
        <v>20767.46844762464</v>
      </c>
      <c r="R83" s="67">
        <f>IFERROR((K83/J83)-1,0)</f>
        <v>3.041988003427587E-2</v>
      </c>
      <c r="S83" s="67">
        <f t="shared" ref="S83:W83" si="68">IFERROR((L83/K83)-1,0)</f>
        <v>0.11147057768462099</v>
      </c>
      <c r="T83" s="67">
        <f t="shared" si="68"/>
        <v>6.4578141658550692E-2</v>
      </c>
      <c r="U83" s="67">
        <f t="shared" si="68"/>
        <v>6.2909986532856177E-2</v>
      </c>
      <c r="V83" s="67">
        <f t="shared" si="68"/>
        <v>6.6962704733339873E-2</v>
      </c>
      <c r="W83" s="67">
        <f t="shared" si="68"/>
        <v>7.249675311992787E-2</v>
      </c>
    </row>
    <row r="84" spans="1:23" x14ac:dyDescent="0.2">
      <c r="A84" s="11"/>
      <c r="I84" s="32"/>
      <c r="J84" s="32"/>
      <c r="K84" s="32"/>
      <c r="R84" s="37"/>
      <c r="S84" s="37"/>
      <c r="T84" s="37"/>
      <c r="U84" s="37"/>
      <c r="V84" s="37"/>
      <c r="W84" s="37"/>
    </row>
    <row r="85" spans="1:23" x14ac:dyDescent="0.2">
      <c r="A85" s="17" t="s">
        <v>83</v>
      </c>
      <c r="B85" s="5"/>
      <c r="C85" s="16"/>
      <c r="D85" s="5"/>
      <c r="E85" s="16"/>
      <c r="F85" s="16"/>
      <c r="G85" s="5"/>
      <c r="H85" s="5"/>
      <c r="I85" s="28">
        <v>40321</v>
      </c>
      <c r="J85" s="28">
        <v>37531</v>
      </c>
      <c r="K85" s="28">
        <v>38110</v>
      </c>
      <c r="L85" s="116">
        <f>L83+L74</f>
        <v>39587.457726425506</v>
      </c>
      <c r="M85" s="116">
        <f t="shared" ref="M85:P85" si="69">M83+M74</f>
        <v>40052.845040941174</v>
      </c>
      <c r="N85" s="116">
        <f t="shared" si="69"/>
        <v>40784.070639366233</v>
      </c>
      <c r="O85" s="116">
        <f t="shared" si="69"/>
        <v>41815.672341290214</v>
      </c>
      <c r="P85" s="116">
        <f t="shared" si="69"/>
        <v>44221.42556185041</v>
      </c>
      <c r="R85" s="67">
        <f>IFERROR((K85/J85)-1,0)</f>
        <v>1.5427246809304407E-2</v>
      </c>
      <c r="S85" s="67">
        <f t="shared" ref="S85:W85" si="70">IFERROR((L85/K85)-1,0)</f>
        <v>3.8768242624652505E-2</v>
      </c>
      <c r="T85" s="67">
        <f t="shared" si="70"/>
        <v>1.1755928297588314E-2</v>
      </c>
      <c r="U85" s="67">
        <f t="shared" si="70"/>
        <v>1.8256520795903786E-2</v>
      </c>
      <c r="V85" s="67">
        <f t="shared" si="70"/>
        <v>2.5294230952224828E-2</v>
      </c>
      <c r="W85" s="67">
        <f t="shared" si="70"/>
        <v>5.7532333832276406E-2</v>
      </c>
    </row>
    <row r="86" spans="1:23" x14ac:dyDescent="0.2">
      <c r="A86" s="3" t="s">
        <v>105</v>
      </c>
      <c r="B86" s="12"/>
      <c r="C86" s="12"/>
      <c r="E86" s="12"/>
      <c r="F86" s="12"/>
      <c r="H86" s="12"/>
      <c r="I86" s="80">
        <f>ROUND(I55-I74-I83,0)</f>
        <v>0</v>
      </c>
      <c r="J86" s="80">
        <f t="shared" ref="J86:P86" si="71">ROUND(J55-J74-J83,0)</f>
        <v>0</v>
      </c>
      <c r="K86" s="80">
        <f t="shared" si="71"/>
        <v>0</v>
      </c>
      <c r="L86" s="80">
        <f t="shared" si="71"/>
        <v>0</v>
      </c>
      <c r="M86" s="80">
        <f t="shared" si="71"/>
        <v>0</v>
      </c>
      <c r="N86" s="80">
        <f t="shared" si="71"/>
        <v>0</v>
      </c>
      <c r="O86" s="80">
        <f t="shared" si="71"/>
        <v>0</v>
      </c>
      <c r="P86" s="80">
        <f t="shared" si="71"/>
        <v>0</v>
      </c>
      <c r="R86" s="37"/>
      <c r="S86" s="37"/>
      <c r="T86" s="37"/>
      <c r="U86" s="37"/>
      <c r="V86" s="37"/>
      <c r="W86" s="37"/>
    </row>
    <row r="87" spans="1:23" x14ac:dyDescent="0.2">
      <c r="B87" s="12"/>
      <c r="C87" s="12"/>
      <c r="E87" s="12"/>
      <c r="F87" s="12"/>
      <c r="H87" s="12"/>
      <c r="I87" s="80"/>
      <c r="J87" s="80"/>
      <c r="K87" s="80"/>
      <c r="L87" s="80"/>
      <c r="M87" s="80"/>
      <c r="N87" s="80"/>
      <c r="O87" s="80"/>
      <c r="P87" s="80"/>
      <c r="R87" s="37"/>
      <c r="S87" s="37"/>
      <c r="T87" s="37"/>
      <c r="U87" s="37"/>
      <c r="V87" s="37"/>
      <c r="W87" s="37"/>
    </row>
    <row r="88" spans="1:23" x14ac:dyDescent="0.2">
      <c r="A88" s="22" t="s">
        <v>49</v>
      </c>
      <c r="B88" s="23"/>
      <c r="C88" s="23"/>
      <c r="D88" s="23"/>
      <c r="E88" s="23"/>
      <c r="F88" s="23"/>
      <c r="G88" s="23"/>
      <c r="H88" s="23"/>
      <c r="I88" s="33"/>
      <c r="J88" s="33"/>
      <c r="K88" s="33"/>
      <c r="L88" s="23"/>
      <c r="M88" s="23"/>
      <c r="N88" s="23"/>
      <c r="O88" s="23"/>
      <c r="P88" s="23"/>
      <c r="R88" s="23"/>
      <c r="S88" s="23"/>
      <c r="T88" s="23"/>
      <c r="U88" s="23"/>
      <c r="V88" s="23"/>
      <c r="W88" s="23"/>
    </row>
    <row r="89" spans="1:23" x14ac:dyDescent="0.2">
      <c r="A89" s="11" t="s">
        <v>68</v>
      </c>
      <c r="I89" s="27"/>
      <c r="J89" s="27"/>
      <c r="K89" s="27"/>
      <c r="R89" s="68"/>
      <c r="S89" s="68"/>
      <c r="T89" s="68"/>
      <c r="U89" s="68"/>
      <c r="V89" s="68"/>
      <c r="W89" s="68"/>
    </row>
    <row r="90" spans="1:23" x14ac:dyDescent="0.2">
      <c r="A90" s="7" t="s">
        <v>15</v>
      </c>
      <c r="B90" s="11"/>
      <c r="C90" s="11"/>
      <c r="E90" s="11"/>
      <c r="F90" s="59" t="s">
        <v>112</v>
      </c>
      <c r="H90" s="11"/>
      <c r="I90" s="38">
        <f t="shared" ref="I90:P90" si="72">I23</f>
        <v>6046</v>
      </c>
      <c r="J90" s="38">
        <f t="shared" si="72"/>
        <v>5070</v>
      </c>
      <c r="K90" s="38">
        <f t="shared" si="72"/>
        <v>5700</v>
      </c>
      <c r="L90" s="38">
        <f t="shared" si="72"/>
        <v>5291.5204359890804</v>
      </c>
      <c r="M90" s="38">
        <f t="shared" si="72"/>
        <v>5390.7378447088631</v>
      </c>
      <c r="N90" s="38">
        <f t="shared" si="72"/>
        <v>5593.141358497217</v>
      </c>
      <c r="O90" s="38">
        <f t="shared" si="72"/>
        <v>5856.2659264220783</v>
      </c>
      <c r="P90" s="38">
        <f t="shared" si="72"/>
        <v>6187.8028820074014</v>
      </c>
      <c r="R90" s="68"/>
      <c r="S90" s="68"/>
      <c r="T90" s="68"/>
      <c r="U90" s="68"/>
      <c r="V90" s="68"/>
      <c r="W90" s="68"/>
    </row>
    <row r="91" spans="1:23" x14ac:dyDescent="0.2">
      <c r="A91" s="7" t="s">
        <v>50</v>
      </c>
      <c r="B91" s="11"/>
      <c r="D91" s="11"/>
      <c r="F91" s="59" t="s">
        <v>112</v>
      </c>
      <c r="I91" s="38">
        <f t="shared" ref="I91:P91" si="73">I30</f>
        <v>717</v>
      </c>
      <c r="J91" s="38">
        <f t="shared" si="73"/>
        <v>703</v>
      </c>
      <c r="K91" s="38">
        <f t="shared" si="73"/>
        <v>796</v>
      </c>
      <c r="L91" s="95">
        <f t="shared" si="73"/>
        <v>856.42857142857144</v>
      </c>
      <c r="M91" s="95">
        <f t="shared" si="73"/>
        <v>916.85714285714289</v>
      </c>
      <c r="N91" s="95">
        <f t="shared" si="73"/>
        <v>977.28571428571422</v>
      </c>
      <c r="O91" s="95">
        <f t="shared" si="73"/>
        <v>1037.7142857142858</v>
      </c>
      <c r="P91" s="95">
        <f t="shared" si="73"/>
        <v>1098.1428571428571</v>
      </c>
      <c r="R91" s="68"/>
      <c r="S91" s="68"/>
      <c r="T91" s="68"/>
      <c r="U91" s="68"/>
      <c r="V91" s="68"/>
      <c r="W91" s="68"/>
    </row>
    <row r="92" spans="1:23" x14ac:dyDescent="0.2">
      <c r="A92" s="7" t="s">
        <v>51</v>
      </c>
      <c r="B92" s="11"/>
      <c r="D92" s="11"/>
      <c r="F92" s="37" t="s">
        <v>183</v>
      </c>
      <c r="I92" s="27">
        <v>-650</v>
      </c>
      <c r="J92" s="27">
        <v>-117</v>
      </c>
      <c r="K92" s="27">
        <v>-497</v>
      </c>
      <c r="L92" s="36">
        <f>K92</f>
        <v>-497</v>
      </c>
      <c r="M92" s="36">
        <f t="shared" ref="M92:P92" si="74">L92</f>
        <v>-497</v>
      </c>
      <c r="N92" s="36">
        <f t="shared" si="74"/>
        <v>-497</v>
      </c>
      <c r="O92" s="36">
        <f t="shared" si="74"/>
        <v>-497</v>
      </c>
      <c r="P92" s="36">
        <f t="shared" si="74"/>
        <v>-497</v>
      </c>
      <c r="R92" s="68"/>
      <c r="S92" s="68"/>
      <c r="T92" s="68"/>
      <c r="U92" s="68"/>
      <c r="V92" s="68"/>
      <c r="W92" s="68"/>
    </row>
    <row r="93" spans="1:23" x14ac:dyDescent="0.2">
      <c r="A93" s="7" t="s">
        <v>52</v>
      </c>
      <c r="B93" s="11"/>
      <c r="D93" s="11"/>
      <c r="F93" s="37" t="s">
        <v>183</v>
      </c>
      <c r="I93" s="27">
        <v>638</v>
      </c>
      <c r="J93" s="27">
        <v>755</v>
      </c>
      <c r="K93" s="27">
        <v>804</v>
      </c>
      <c r="L93" s="36">
        <f>K93</f>
        <v>804</v>
      </c>
      <c r="M93" s="36">
        <f t="shared" ref="M93:P93" si="75">L93</f>
        <v>804</v>
      </c>
      <c r="N93" s="36">
        <f t="shared" si="75"/>
        <v>804</v>
      </c>
      <c r="O93" s="36">
        <f t="shared" si="75"/>
        <v>804</v>
      </c>
      <c r="P93" s="36">
        <f t="shared" si="75"/>
        <v>804</v>
      </c>
      <c r="R93" s="68"/>
      <c r="S93" s="68"/>
      <c r="T93" s="68"/>
      <c r="U93" s="68"/>
      <c r="V93" s="68"/>
      <c r="W93" s="68"/>
    </row>
    <row r="94" spans="1:23" x14ac:dyDescent="0.2">
      <c r="A94" s="7" t="s">
        <v>77</v>
      </c>
      <c r="B94" s="11"/>
      <c r="D94" s="11"/>
      <c r="F94" s="59" t="s">
        <v>112</v>
      </c>
      <c r="I94" s="38" cm="1">
        <f t="array" ref="I94:K94">I31:K31</f>
        <v>123</v>
      </c>
      <c r="J94" s="38">
        <v>156</v>
      </c>
      <c r="K94" s="38">
        <v>48</v>
      </c>
      <c r="L94" s="36">
        <f>L31</f>
        <v>48</v>
      </c>
      <c r="M94" s="36">
        <f t="shared" ref="M94:P94" si="76">M31</f>
        <v>48</v>
      </c>
      <c r="N94" s="36">
        <f t="shared" si="76"/>
        <v>48</v>
      </c>
      <c r="O94" s="36">
        <f t="shared" si="76"/>
        <v>48</v>
      </c>
      <c r="P94" s="36">
        <f t="shared" si="76"/>
        <v>48</v>
      </c>
      <c r="R94" s="68"/>
      <c r="S94" s="68"/>
      <c r="T94" s="68"/>
      <c r="U94" s="68"/>
      <c r="V94" s="68"/>
      <c r="W94" s="68"/>
    </row>
    <row r="95" spans="1:23" x14ac:dyDescent="0.2">
      <c r="A95" s="7" t="s">
        <v>53</v>
      </c>
      <c r="B95" s="11"/>
      <c r="D95" s="11"/>
      <c r="F95" s="37" t="s">
        <v>183</v>
      </c>
      <c r="I95" s="27">
        <v>-26</v>
      </c>
      <c r="J95" s="27">
        <v>-213</v>
      </c>
      <c r="K95" s="27">
        <v>-138</v>
      </c>
      <c r="L95" s="38">
        <v>-138</v>
      </c>
      <c r="M95" s="38">
        <v>-138</v>
      </c>
      <c r="N95" s="38">
        <v>-138</v>
      </c>
      <c r="O95" s="38">
        <v>-138</v>
      </c>
      <c r="P95" s="38">
        <v>-138</v>
      </c>
      <c r="R95" s="68"/>
      <c r="S95" s="68"/>
      <c r="T95" s="68"/>
      <c r="U95" s="68"/>
      <c r="V95" s="68"/>
      <c r="W95" s="68"/>
    </row>
    <row r="96" spans="1:23" x14ac:dyDescent="0.2">
      <c r="A96" s="7"/>
      <c r="B96" s="11"/>
      <c r="D96" s="11"/>
      <c r="F96" s="11"/>
      <c r="I96" s="27"/>
      <c r="J96" s="27"/>
      <c r="K96" s="27"/>
      <c r="R96" s="68"/>
      <c r="S96" s="68"/>
      <c r="T96" s="68"/>
      <c r="U96" s="68"/>
      <c r="V96" s="68"/>
      <c r="W96" s="68"/>
    </row>
    <row r="97" spans="1:23" ht="14" customHeight="1" x14ac:dyDescent="0.2">
      <c r="A97" s="3" t="s">
        <v>54</v>
      </c>
      <c r="I97" s="27"/>
      <c r="J97" s="27"/>
      <c r="K97" s="27"/>
      <c r="R97" s="68"/>
      <c r="S97" s="68"/>
      <c r="T97" s="68"/>
      <c r="U97" s="68"/>
      <c r="V97" s="68"/>
      <c r="W97" s="68"/>
    </row>
    <row r="98" spans="1:23" x14ac:dyDescent="0.2">
      <c r="A98" s="7" t="s">
        <v>69</v>
      </c>
      <c r="B98" s="11"/>
      <c r="D98" s="11"/>
      <c r="F98" s="37" t="s">
        <v>158</v>
      </c>
      <c r="I98" s="27">
        <v>-504</v>
      </c>
      <c r="J98" s="27">
        <v>489</v>
      </c>
      <c r="K98" s="27">
        <v>-329</v>
      </c>
      <c r="L98" s="36">
        <f t="shared" ref="L98:P100" si="77">K41-L41</f>
        <v>42.936684931507443</v>
      </c>
      <c r="M98" s="36">
        <f t="shared" si="77"/>
        <v>-87.68126630137067</v>
      </c>
      <c r="N98" s="36">
        <f t="shared" si="77"/>
        <v>-178.86978325479413</v>
      </c>
      <c r="O98" s="36">
        <f t="shared" si="77"/>
        <v>-232.53071823123355</v>
      </c>
      <c r="P98" s="36">
        <f t="shared" si="77"/>
        <v>-292.9887049713534</v>
      </c>
      <c r="R98" s="68"/>
      <c r="S98" s="68"/>
      <c r="T98" s="68"/>
      <c r="U98" s="68"/>
      <c r="V98" s="68"/>
      <c r="W98" s="68"/>
    </row>
    <row r="99" spans="1:23" x14ac:dyDescent="0.2">
      <c r="A99" s="7" t="s">
        <v>70</v>
      </c>
      <c r="B99" s="11"/>
      <c r="D99" s="11"/>
      <c r="F99" s="37" t="s">
        <v>158</v>
      </c>
      <c r="I99" s="27">
        <v>-1676</v>
      </c>
      <c r="J99" s="27">
        <v>-133</v>
      </c>
      <c r="K99" s="27">
        <v>908</v>
      </c>
      <c r="L99" s="36">
        <f t="shared" si="77"/>
        <v>-904.76552780821839</v>
      </c>
      <c r="M99" s="36">
        <f t="shared" si="77"/>
        <v>-168.47531055616491</v>
      </c>
      <c r="N99" s="36">
        <f t="shared" si="77"/>
        <v>-343.6896335345773</v>
      </c>
      <c r="O99" s="36">
        <f t="shared" si="77"/>
        <v>-446.79652359494685</v>
      </c>
      <c r="P99" s="36">
        <f t="shared" si="77"/>
        <v>-562.96361972963678</v>
      </c>
      <c r="R99" s="68"/>
      <c r="S99" s="68"/>
      <c r="T99" s="68"/>
      <c r="U99" s="68"/>
      <c r="V99" s="68"/>
      <c r="W99" s="68"/>
    </row>
    <row r="100" spans="1:23" x14ac:dyDescent="0.2">
      <c r="A100" s="7" t="s">
        <v>71</v>
      </c>
      <c r="B100" s="11"/>
      <c r="D100" s="11"/>
      <c r="F100" s="37" t="s">
        <v>158</v>
      </c>
      <c r="I100" s="27">
        <v>-845</v>
      </c>
      <c r="J100" s="27">
        <v>-644</v>
      </c>
      <c r="K100" s="27">
        <v>-260</v>
      </c>
      <c r="L100" s="36">
        <f t="shared" si="77"/>
        <v>-210.75239999999985</v>
      </c>
      <c r="M100" s="36">
        <f t="shared" si="77"/>
        <v>-41.295047999999952</v>
      </c>
      <c r="N100" s="36">
        <f t="shared" si="77"/>
        <v>-84.241897920000156</v>
      </c>
      <c r="O100" s="36">
        <f t="shared" si="77"/>
        <v>-109.51446729600048</v>
      </c>
      <c r="P100" s="36">
        <f t="shared" si="77"/>
        <v>-137.98822879295994</v>
      </c>
      <c r="R100" s="68"/>
      <c r="S100" s="68"/>
      <c r="T100" s="68"/>
      <c r="U100" s="68"/>
      <c r="V100" s="68"/>
      <c r="W100" s="68"/>
    </row>
    <row r="101" spans="1:23" x14ac:dyDescent="0.2">
      <c r="A101" s="7" t="s">
        <v>72</v>
      </c>
      <c r="B101" s="11"/>
      <c r="D101" s="11"/>
      <c r="F101" s="37" t="s">
        <v>159</v>
      </c>
      <c r="I101" s="27">
        <v>1365</v>
      </c>
      <c r="J101" s="27">
        <v>-225</v>
      </c>
      <c r="K101" s="27">
        <v>397</v>
      </c>
      <c r="L101" s="74">
        <f>L61-K61</f>
        <v>171.88236643835626</v>
      </c>
      <c r="M101" s="74">
        <f>M61-L61</f>
        <v>60.457647328767052</v>
      </c>
      <c r="N101" s="74">
        <f>N61-M61</f>
        <v>123.33360055068488</v>
      </c>
      <c r="O101" s="74">
        <f>O61-N61</f>
        <v>160.33368071589121</v>
      </c>
      <c r="P101" s="74">
        <f>P61-O61</f>
        <v>202.02043770202226</v>
      </c>
      <c r="R101" s="68"/>
      <c r="S101" s="68"/>
      <c r="T101" s="68"/>
      <c r="U101" s="68"/>
      <c r="V101" s="68"/>
      <c r="W101" s="68"/>
    </row>
    <row r="102" spans="1:23" x14ac:dyDescent="0.2">
      <c r="A102" s="7"/>
      <c r="B102" s="11"/>
      <c r="D102" s="11"/>
      <c r="F102" s="11"/>
      <c r="I102" s="27"/>
      <c r="J102" s="27"/>
      <c r="K102" s="27"/>
      <c r="R102" s="68"/>
      <c r="S102" s="68"/>
      <c r="T102" s="68"/>
      <c r="U102" s="68"/>
      <c r="V102" s="68"/>
      <c r="W102" s="68"/>
    </row>
    <row r="103" spans="1:23" x14ac:dyDescent="0.2">
      <c r="A103" s="5" t="s">
        <v>189</v>
      </c>
      <c r="B103" s="17"/>
      <c r="C103" s="5"/>
      <c r="D103" s="17"/>
      <c r="E103" s="5"/>
      <c r="F103" s="19"/>
      <c r="G103" s="5"/>
      <c r="H103" s="5"/>
      <c r="I103" s="28">
        <v>5188</v>
      </c>
      <c r="J103" s="28">
        <v>5841</v>
      </c>
      <c r="K103" s="28">
        <v>7429</v>
      </c>
      <c r="L103" s="61">
        <f>SUM(L90:L102)</f>
        <v>5464.250130979297</v>
      </c>
      <c r="M103" s="61">
        <f t="shared" ref="M103:P103" si="78">SUM(M90:M102)</f>
        <v>6287.6010100372378</v>
      </c>
      <c r="N103" s="61">
        <f t="shared" si="78"/>
        <v>6303.9593586242445</v>
      </c>
      <c r="O103" s="61">
        <f t="shared" si="78"/>
        <v>6482.4721837300749</v>
      </c>
      <c r="P103" s="61">
        <f t="shared" si="78"/>
        <v>6711.0256233583295</v>
      </c>
      <c r="R103" s="68"/>
      <c r="S103" s="68"/>
      <c r="T103" s="68"/>
      <c r="U103" s="68"/>
      <c r="V103" s="68"/>
      <c r="W103" s="68"/>
    </row>
    <row r="104" spans="1:23" x14ac:dyDescent="0.2">
      <c r="B104" s="11"/>
      <c r="D104" s="11"/>
      <c r="F104" s="11"/>
      <c r="I104" s="27"/>
      <c r="J104" s="27"/>
      <c r="K104" s="27"/>
      <c r="R104" s="68"/>
      <c r="S104" s="68"/>
      <c r="T104" s="68"/>
      <c r="U104" s="68"/>
      <c r="V104" s="68"/>
      <c r="W104" s="68"/>
    </row>
    <row r="105" spans="1:23" x14ac:dyDescent="0.2">
      <c r="A105" s="3" t="s">
        <v>85</v>
      </c>
      <c r="I105" s="27"/>
      <c r="J105" s="27"/>
      <c r="K105" s="27"/>
      <c r="R105" s="68"/>
      <c r="S105" s="68"/>
      <c r="T105" s="68"/>
      <c r="U105" s="68"/>
      <c r="V105" s="68"/>
      <c r="W105" s="68"/>
    </row>
    <row r="106" spans="1:23" x14ac:dyDescent="0.2">
      <c r="A106" s="7" t="s">
        <v>55</v>
      </c>
      <c r="B106" s="18"/>
      <c r="D106" s="18"/>
      <c r="F106" s="37" t="s">
        <v>183</v>
      </c>
      <c r="I106" s="27">
        <v>-12913</v>
      </c>
      <c r="J106" s="27">
        <v>-6059</v>
      </c>
      <c r="K106" s="27">
        <v>-4767</v>
      </c>
      <c r="L106" s="38">
        <v>-4767</v>
      </c>
      <c r="M106" s="38">
        <v>-4767</v>
      </c>
      <c r="N106" s="38">
        <v>-4767</v>
      </c>
      <c r="O106" s="38">
        <v>-4767</v>
      </c>
      <c r="P106" s="38">
        <v>-4767</v>
      </c>
      <c r="R106" s="68"/>
      <c r="S106" s="68"/>
      <c r="T106" s="68"/>
      <c r="U106" s="68"/>
      <c r="V106" s="68"/>
      <c r="W106" s="68"/>
    </row>
    <row r="107" spans="1:23" x14ac:dyDescent="0.2">
      <c r="A107" s="7" t="s">
        <v>56</v>
      </c>
      <c r="B107" s="11"/>
      <c r="D107" s="11"/>
      <c r="F107" s="37" t="s">
        <v>183</v>
      </c>
      <c r="I107" s="108">
        <v>8199</v>
      </c>
      <c r="J107" s="108">
        <v>3356</v>
      </c>
      <c r="K107" s="108">
        <v>2269</v>
      </c>
      <c r="L107" s="38">
        <v>2269</v>
      </c>
      <c r="M107" s="38">
        <v>2269</v>
      </c>
      <c r="N107" s="38">
        <v>2269</v>
      </c>
      <c r="O107" s="38">
        <v>2269</v>
      </c>
      <c r="P107" s="38">
        <v>2269</v>
      </c>
      <c r="R107" s="68"/>
      <c r="S107" s="68"/>
      <c r="T107" s="68"/>
      <c r="U107" s="68"/>
      <c r="V107" s="68"/>
      <c r="W107" s="68"/>
    </row>
    <row r="108" spans="1:23" x14ac:dyDescent="0.2">
      <c r="A108" s="7" t="s">
        <v>57</v>
      </c>
      <c r="B108" s="11"/>
      <c r="D108" s="11"/>
      <c r="F108" s="37" t="s">
        <v>183</v>
      </c>
      <c r="I108" s="108">
        <v>3967</v>
      </c>
      <c r="J108" s="108">
        <v>4184</v>
      </c>
      <c r="K108" s="108">
        <v>4219</v>
      </c>
      <c r="L108" s="38">
        <v>4219</v>
      </c>
      <c r="M108" s="38">
        <v>4219</v>
      </c>
      <c r="N108" s="38">
        <v>4219</v>
      </c>
      <c r="O108" s="38">
        <v>4219</v>
      </c>
      <c r="P108" s="38">
        <v>4219</v>
      </c>
      <c r="R108" s="68"/>
      <c r="S108" s="68"/>
      <c r="T108" s="68"/>
      <c r="U108" s="68"/>
      <c r="V108" s="68"/>
      <c r="W108" s="68"/>
    </row>
    <row r="109" spans="1:23" x14ac:dyDescent="0.2">
      <c r="A109" s="7" t="s">
        <v>58</v>
      </c>
      <c r="B109" s="11"/>
      <c r="D109" s="11"/>
      <c r="F109" s="37" t="s">
        <v>191</v>
      </c>
      <c r="I109" s="108">
        <v>-758</v>
      </c>
      <c r="J109" s="108">
        <v>-969</v>
      </c>
      <c r="K109" s="108">
        <v>-812</v>
      </c>
      <c r="L109" s="118">
        <f>K48-L48-L30</f>
        <v>-845.99999999999989</v>
      </c>
      <c r="M109" s="118">
        <f>L48-M48-M30</f>
        <v>-845.99999999999977</v>
      </c>
      <c r="N109" s="118">
        <f>M48-N48-N30</f>
        <v>-845.99999999999955</v>
      </c>
      <c r="O109" s="118">
        <f>N48-O48-O30</f>
        <v>-845.99999999999955</v>
      </c>
      <c r="P109" s="118">
        <f>O48-P48-P30</f>
        <v>-846.00000000000023</v>
      </c>
      <c r="R109" s="68"/>
      <c r="S109" s="68"/>
      <c r="T109" s="68"/>
      <c r="U109" s="68"/>
      <c r="V109" s="68"/>
      <c r="W109" s="68"/>
    </row>
    <row r="110" spans="1:23" x14ac:dyDescent="0.2">
      <c r="A110" s="7" t="s">
        <v>59</v>
      </c>
      <c r="B110" s="11"/>
      <c r="D110" s="11"/>
      <c r="F110" s="37" t="s">
        <v>183</v>
      </c>
      <c r="I110" s="108">
        <v>-19</v>
      </c>
      <c r="J110" s="108">
        <v>52</v>
      </c>
      <c r="K110" s="108">
        <v>-15</v>
      </c>
      <c r="L110" s="38">
        <v>-15</v>
      </c>
      <c r="M110" s="38">
        <v>-15</v>
      </c>
      <c r="N110" s="38">
        <v>-15</v>
      </c>
      <c r="O110" s="38">
        <v>-15</v>
      </c>
      <c r="P110" s="38">
        <v>-15</v>
      </c>
      <c r="R110" s="68"/>
      <c r="S110" s="68"/>
      <c r="T110" s="68"/>
      <c r="U110" s="68"/>
      <c r="V110" s="68"/>
      <c r="W110" s="68"/>
    </row>
    <row r="111" spans="1:23" x14ac:dyDescent="0.2">
      <c r="A111" s="7"/>
      <c r="B111" s="11"/>
      <c r="D111" s="11"/>
      <c r="F111" s="11"/>
      <c r="I111" s="27"/>
      <c r="J111" s="27"/>
      <c r="K111" s="27"/>
      <c r="R111" s="68"/>
      <c r="S111" s="68"/>
      <c r="T111" s="68"/>
      <c r="U111" s="68"/>
      <c r="V111" s="68"/>
      <c r="W111" s="68"/>
    </row>
    <row r="112" spans="1:23" x14ac:dyDescent="0.2">
      <c r="A112" s="5" t="s">
        <v>190</v>
      </c>
      <c r="B112" s="17"/>
      <c r="C112" s="5"/>
      <c r="D112" s="17"/>
      <c r="E112" s="5"/>
      <c r="F112" s="19"/>
      <c r="G112" s="5"/>
      <c r="H112" s="5"/>
      <c r="I112" s="28">
        <v>-1524</v>
      </c>
      <c r="J112" s="28">
        <v>564</v>
      </c>
      <c r="K112" s="28">
        <v>894</v>
      </c>
      <c r="L112" s="61">
        <f>SUM(L106:L111)</f>
        <v>860.00000000000011</v>
      </c>
      <c r="M112" s="61">
        <f t="shared" ref="M112:P112" si="79">SUM(M106:M111)</f>
        <v>860.00000000000023</v>
      </c>
      <c r="N112" s="61">
        <f t="shared" si="79"/>
        <v>860.00000000000045</v>
      </c>
      <c r="O112" s="61">
        <f t="shared" si="79"/>
        <v>860.00000000000045</v>
      </c>
      <c r="P112" s="61">
        <f t="shared" si="79"/>
        <v>859.99999999999977</v>
      </c>
      <c r="R112" s="68"/>
      <c r="S112" s="68"/>
      <c r="T112" s="68"/>
      <c r="U112" s="68"/>
      <c r="V112" s="68"/>
      <c r="W112" s="68"/>
    </row>
    <row r="113" spans="1:23" x14ac:dyDescent="0.2">
      <c r="B113" s="11"/>
      <c r="D113" s="11"/>
      <c r="F113" s="18"/>
      <c r="I113" s="27"/>
      <c r="J113" s="27"/>
      <c r="K113" s="27"/>
      <c r="R113" s="68"/>
      <c r="S113" s="68"/>
      <c r="T113" s="68"/>
      <c r="U113" s="68"/>
      <c r="V113" s="68"/>
      <c r="W113" s="68"/>
    </row>
    <row r="114" spans="1:23" x14ac:dyDescent="0.2">
      <c r="A114" s="3" t="s">
        <v>84</v>
      </c>
      <c r="I114" s="35"/>
      <c r="J114" s="27"/>
      <c r="K114" s="35"/>
      <c r="R114" s="68"/>
      <c r="S114" s="68"/>
      <c r="T114" s="68"/>
      <c r="U114" s="68"/>
      <c r="V114" s="68"/>
      <c r="W114" s="68"/>
    </row>
    <row r="115" spans="1:23" x14ac:dyDescent="0.2">
      <c r="A115" s="7" t="s">
        <v>106</v>
      </c>
      <c r="B115" s="11"/>
      <c r="D115" s="11"/>
      <c r="F115" s="37" t="s">
        <v>183</v>
      </c>
      <c r="I115" s="27">
        <v>15</v>
      </c>
      <c r="J115" s="27">
        <v>-4</v>
      </c>
      <c r="K115" s="27">
        <v>0</v>
      </c>
      <c r="L115" s="36">
        <v>0</v>
      </c>
      <c r="M115" s="36">
        <v>0</v>
      </c>
      <c r="N115" s="36">
        <v>0</v>
      </c>
      <c r="O115" s="36">
        <v>0</v>
      </c>
      <c r="P115" s="36">
        <v>0</v>
      </c>
      <c r="R115" s="68"/>
      <c r="S115" s="68"/>
      <c r="T115" s="68"/>
      <c r="U115" s="68"/>
      <c r="V115" s="68"/>
      <c r="W115" s="68"/>
    </row>
    <row r="116" spans="1:23" x14ac:dyDescent="0.2">
      <c r="A116" s="7" t="s">
        <v>60</v>
      </c>
      <c r="B116" s="11"/>
      <c r="D116" s="11"/>
      <c r="F116" s="59" t="s">
        <v>196</v>
      </c>
      <c r="I116" s="27">
        <v>0</v>
      </c>
      <c r="J116" s="27">
        <v>-500</v>
      </c>
      <c r="K116" s="27">
        <v>0</v>
      </c>
      <c r="L116" s="36" cm="1">
        <f t="array" ref="L116:P116">K196:O196</f>
        <v>0</v>
      </c>
      <c r="M116" s="36">
        <v>-1000</v>
      </c>
      <c r="N116" s="36">
        <v>-1000</v>
      </c>
      <c r="O116" s="36">
        <v>-1000</v>
      </c>
      <c r="P116" s="36">
        <v>0</v>
      </c>
      <c r="R116" s="68"/>
      <c r="S116" s="68"/>
      <c r="T116" s="68"/>
      <c r="U116" s="68"/>
      <c r="V116" s="68"/>
      <c r="W116" s="68"/>
    </row>
    <row r="117" spans="1:23" x14ac:dyDescent="0.2">
      <c r="A117" s="7" t="s">
        <v>61</v>
      </c>
      <c r="B117" s="11"/>
      <c r="D117" s="11"/>
      <c r="F117" s="37" t="s">
        <v>183</v>
      </c>
      <c r="I117" s="27">
        <v>1151</v>
      </c>
      <c r="J117" s="27">
        <v>651</v>
      </c>
      <c r="K117" s="27">
        <v>667</v>
      </c>
      <c r="L117" s="38">
        <v>667</v>
      </c>
      <c r="M117" s="38">
        <v>667</v>
      </c>
      <c r="N117" s="38">
        <v>667</v>
      </c>
      <c r="O117" s="38">
        <v>667</v>
      </c>
      <c r="P117" s="38">
        <v>667</v>
      </c>
      <c r="R117" s="68"/>
      <c r="S117" s="68"/>
      <c r="T117" s="68"/>
      <c r="U117" s="68"/>
      <c r="V117" s="68"/>
      <c r="W117" s="68"/>
    </row>
    <row r="118" spans="1:23" x14ac:dyDescent="0.2">
      <c r="A118" s="7" t="s">
        <v>62</v>
      </c>
      <c r="B118" s="18"/>
      <c r="D118" s="18"/>
      <c r="F118" s="37" t="s">
        <v>183</v>
      </c>
      <c r="I118" s="27">
        <v>-4014</v>
      </c>
      <c r="J118" s="27">
        <v>-5480</v>
      </c>
      <c r="K118" s="27">
        <v>-4250</v>
      </c>
      <c r="L118" s="38">
        <v>-4250</v>
      </c>
      <c r="M118" s="38">
        <v>-4250</v>
      </c>
      <c r="N118" s="38">
        <v>-4250</v>
      </c>
      <c r="O118" s="38">
        <v>-4250</v>
      </c>
      <c r="P118" s="38">
        <v>-4250</v>
      </c>
      <c r="R118" s="68"/>
      <c r="S118" s="68"/>
      <c r="T118" s="68"/>
      <c r="U118" s="68"/>
      <c r="V118" s="68"/>
      <c r="W118" s="68"/>
    </row>
    <row r="119" spans="1:23" x14ac:dyDescent="0.2">
      <c r="A119" s="7" t="s">
        <v>63</v>
      </c>
      <c r="B119" s="18"/>
      <c r="D119" s="18"/>
      <c r="F119" s="37" t="s">
        <v>183</v>
      </c>
      <c r="I119" s="27">
        <v>-1837</v>
      </c>
      <c r="J119" s="27">
        <v>-2012</v>
      </c>
      <c r="K119" s="27">
        <v>-2169</v>
      </c>
      <c r="L119" s="38">
        <v>-2169</v>
      </c>
      <c r="M119" s="38">
        <v>-2169</v>
      </c>
      <c r="N119" s="38">
        <v>-2169</v>
      </c>
      <c r="O119" s="38">
        <v>-2169</v>
      </c>
      <c r="P119" s="38">
        <v>-2169</v>
      </c>
      <c r="R119" s="68"/>
      <c r="S119" s="68"/>
      <c r="T119" s="68"/>
      <c r="U119" s="68"/>
      <c r="V119" s="68"/>
      <c r="W119" s="68"/>
    </row>
    <row r="120" spans="1:23" x14ac:dyDescent="0.2">
      <c r="A120" s="7" t="s">
        <v>64</v>
      </c>
      <c r="B120" s="11"/>
      <c r="D120" s="11"/>
      <c r="F120" s="37" t="s">
        <v>183</v>
      </c>
      <c r="I120" s="27">
        <v>-151</v>
      </c>
      <c r="J120" s="27">
        <v>-102</v>
      </c>
      <c r="K120" s="27">
        <v>-136</v>
      </c>
      <c r="L120" s="38">
        <v>-136</v>
      </c>
      <c r="M120" s="38">
        <v>-136</v>
      </c>
      <c r="N120" s="38">
        <v>-136</v>
      </c>
      <c r="O120" s="38">
        <v>-136</v>
      </c>
      <c r="P120" s="38">
        <v>-136</v>
      </c>
      <c r="R120" s="68"/>
      <c r="S120" s="68"/>
      <c r="T120" s="68"/>
      <c r="U120" s="68"/>
      <c r="V120" s="68"/>
      <c r="W120" s="68"/>
    </row>
    <row r="121" spans="1:23" x14ac:dyDescent="0.2">
      <c r="A121" s="7"/>
      <c r="B121" s="11"/>
      <c r="D121" s="11"/>
      <c r="F121" s="11"/>
      <c r="I121" s="27"/>
      <c r="J121" s="27"/>
      <c r="K121" s="27"/>
      <c r="R121" s="68"/>
      <c r="S121" s="68"/>
      <c r="T121" s="68"/>
      <c r="U121" s="68"/>
      <c r="V121" s="68"/>
      <c r="W121" s="68"/>
    </row>
    <row r="122" spans="1:23" x14ac:dyDescent="0.2">
      <c r="A122" s="5" t="s">
        <v>192</v>
      </c>
      <c r="B122" s="19"/>
      <c r="C122" s="5"/>
      <c r="D122" s="19"/>
      <c r="E122" s="5"/>
      <c r="F122" s="19"/>
      <c r="G122" s="5"/>
      <c r="H122" s="5"/>
      <c r="I122" s="28">
        <v>-4836</v>
      </c>
      <c r="J122" s="28">
        <v>-7447</v>
      </c>
      <c r="K122" s="28">
        <v>-5888</v>
      </c>
      <c r="L122" s="61">
        <f>SUM(L115:L121)</f>
        <v>-5888</v>
      </c>
      <c r="M122" s="61">
        <f t="shared" ref="M122:P122" si="80">SUM(M115:M121)</f>
        <v>-6888</v>
      </c>
      <c r="N122" s="61">
        <f t="shared" si="80"/>
        <v>-6888</v>
      </c>
      <c r="O122" s="61">
        <f t="shared" si="80"/>
        <v>-6888</v>
      </c>
      <c r="P122" s="61">
        <f t="shared" si="80"/>
        <v>-5888</v>
      </c>
      <c r="R122" s="68"/>
      <c r="S122" s="68"/>
      <c r="T122" s="68"/>
      <c r="U122" s="68"/>
      <c r="V122" s="68"/>
      <c r="W122" s="68"/>
    </row>
    <row r="123" spans="1:23" x14ac:dyDescent="0.2">
      <c r="B123" s="18"/>
      <c r="D123" s="18"/>
      <c r="F123" s="18"/>
      <c r="I123" s="27"/>
      <c r="J123" s="27"/>
      <c r="K123" s="27"/>
      <c r="R123" s="68"/>
      <c r="S123" s="68"/>
      <c r="T123" s="68"/>
      <c r="U123" s="68"/>
      <c r="V123" s="68"/>
      <c r="W123" s="68"/>
    </row>
    <row r="124" spans="1:23" x14ac:dyDescent="0.2">
      <c r="A124" s="3" t="s">
        <v>67</v>
      </c>
      <c r="B124" s="11"/>
      <c r="D124" s="11"/>
      <c r="F124" s="11"/>
      <c r="I124" s="27">
        <v>9889</v>
      </c>
      <c r="J124" s="27">
        <v>8574</v>
      </c>
      <c r="K124" s="27">
        <v>7441</v>
      </c>
      <c r="L124" s="36">
        <f>K127</f>
        <v>9860</v>
      </c>
      <c r="M124" s="36">
        <f t="shared" ref="M124:P124" si="81">L127</f>
        <v>10296.250130979297</v>
      </c>
      <c r="N124" s="36">
        <f t="shared" si="81"/>
        <v>10555.851141016534</v>
      </c>
      <c r="O124" s="36">
        <f t="shared" si="81"/>
        <v>10831.810499640778</v>
      </c>
      <c r="P124" s="36">
        <f t="shared" si="81"/>
        <v>11286.282683370853</v>
      </c>
      <c r="R124" s="68"/>
      <c r="S124" s="68"/>
      <c r="T124" s="68"/>
      <c r="U124" s="68"/>
      <c r="V124" s="68"/>
      <c r="W124" s="68"/>
    </row>
    <row r="125" spans="1:23" x14ac:dyDescent="0.2">
      <c r="A125" s="7" t="s">
        <v>65</v>
      </c>
      <c r="B125" s="11"/>
      <c r="D125" s="11"/>
      <c r="F125" s="11"/>
      <c r="I125" s="27">
        <v>-143</v>
      </c>
      <c r="J125" s="27">
        <v>-91</v>
      </c>
      <c r="K125" s="27">
        <v>-16</v>
      </c>
      <c r="R125" s="68"/>
      <c r="S125" s="68"/>
      <c r="T125" s="68"/>
      <c r="U125" s="68"/>
      <c r="V125" s="68"/>
      <c r="W125" s="68"/>
    </row>
    <row r="126" spans="1:23" x14ac:dyDescent="0.2">
      <c r="A126" s="7" t="s">
        <v>66</v>
      </c>
      <c r="B126" s="11"/>
      <c r="D126" s="18"/>
      <c r="F126" s="18"/>
      <c r="I126" s="27">
        <v>-1315</v>
      </c>
      <c r="J126" s="27">
        <v>-1133</v>
      </c>
      <c r="K126" s="27">
        <v>2419</v>
      </c>
      <c r="L126" s="36">
        <f>SUM(L103+L112+L122)</f>
        <v>436.25013097929696</v>
      </c>
      <c r="M126" s="36">
        <f>SUM(M103+M112+M122)</f>
        <v>259.60101003723776</v>
      </c>
      <c r="N126" s="36">
        <f t="shared" ref="N126:O126" si="82">SUM(N103+N112+N122)</f>
        <v>275.95935862424449</v>
      </c>
      <c r="O126" s="36">
        <f t="shared" si="82"/>
        <v>454.4721837300749</v>
      </c>
      <c r="P126" s="36">
        <f>SUM(P103+P112+P122)</f>
        <v>1683.0256233583295</v>
      </c>
      <c r="R126" s="68"/>
      <c r="S126" s="68"/>
      <c r="T126" s="68"/>
      <c r="U126" s="68"/>
      <c r="V126" s="68"/>
      <c r="W126" s="68"/>
    </row>
    <row r="127" spans="1:23" x14ac:dyDescent="0.2">
      <c r="A127" s="5" t="s">
        <v>86</v>
      </c>
      <c r="B127" s="16"/>
      <c r="C127" s="16"/>
      <c r="D127" s="5"/>
      <c r="E127" s="16"/>
      <c r="F127" s="16"/>
      <c r="G127" s="5"/>
      <c r="H127" s="16"/>
      <c r="I127" s="28">
        <v>8574</v>
      </c>
      <c r="J127" s="28">
        <v>7441</v>
      </c>
      <c r="K127" s="28">
        <v>9860</v>
      </c>
      <c r="L127" s="61">
        <f>SUM(L124:L126)</f>
        <v>10296.250130979297</v>
      </c>
      <c r="M127" s="61">
        <f>SUM(M124:M126)</f>
        <v>10555.851141016534</v>
      </c>
      <c r="N127" s="61">
        <f t="shared" ref="N127:P127" si="83">SUM(N124:N126)</f>
        <v>10831.810499640778</v>
      </c>
      <c r="O127" s="61">
        <f t="shared" si="83"/>
        <v>11286.282683370853</v>
      </c>
      <c r="P127" s="61">
        <f t="shared" si="83"/>
        <v>12969.308306729183</v>
      </c>
      <c r="R127" s="68"/>
      <c r="S127" s="68"/>
      <c r="T127" s="68"/>
      <c r="U127" s="68"/>
      <c r="V127" s="68"/>
      <c r="W127" s="68"/>
    </row>
    <row r="128" spans="1:23" x14ac:dyDescent="0.2">
      <c r="A128" s="3" t="s">
        <v>105</v>
      </c>
      <c r="I128" s="80">
        <f t="shared" ref="I128:P128" si="84">I127-I39</f>
        <v>0</v>
      </c>
      <c r="J128" s="80">
        <f t="shared" si="84"/>
        <v>0</v>
      </c>
      <c r="K128" s="80">
        <f t="shared" si="84"/>
        <v>0</v>
      </c>
      <c r="L128" s="80">
        <f t="shared" si="84"/>
        <v>0</v>
      </c>
      <c r="M128" s="80">
        <f t="shared" si="84"/>
        <v>0</v>
      </c>
      <c r="N128" s="80">
        <f t="shared" si="84"/>
        <v>0</v>
      </c>
      <c r="O128" s="80">
        <f t="shared" si="84"/>
        <v>0</v>
      </c>
      <c r="P128" s="80">
        <f t="shared" si="84"/>
        <v>0</v>
      </c>
      <c r="R128" s="68"/>
      <c r="S128" s="68"/>
      <c r="T128" s="68"/>
      <c r="U128" s="68"/>
      <c r="V128" s="68"/>
      <c r="W128" s="68"/>
    </row>
    <row r="129" spans="1:23" x14ac:dyDescent="0.2">
      <c r="I129" s="80"/>
      <c r="J129" s="80"/>
      <c r="K129" s="80"/>
      <c r="L129" s="80"/>
      <c r="M129" s="80"/>
      <c r="N129" s="80"/>
      <c r="O129" s="80"/>
      <c r="P129" s="80"/>
      <c r="R129" s="68"/>
      <c r="S129" s="68"/>
      <c r="T129" s="68"/>
      <c r="U129" s="68"/>
      <c r="V129" s="68"/>
      <c r="W129" s="68"/>
    </row>
    <row r="130" spans="1:23" x14ac:dyDescent="0.2">
      <c r="A130" s="22" t="s">
        <v>124</v>
      </c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R130" s="23"/>
      <c r="S130" s="23"/>
      <c r="T130" s="23"/>
      <c r="U130" s="23"/>
      <c r="V130" s="23"/>
      <c r="W130" s="23"/>
    </row>
    <row r="131" spans="1:23" ht="16" x14ac:dyDescent="0.2">
      <c r="A131" s="3" t="s">
        <v>1</v>
      </c>
      <c r="B131"/>
      <c r="F131" s="37" t="s">
        <v>111</v>
      </c>
      <c r="I131" s="27">
        <v>46710</v>
      </c>
      <c r="J131" s="27">
        <v>51217</v>
      </c>
      <c r="K131" s="27">
        <v>51362</v>
      </c>
      <c r="L131" s="36">
        <f>L8</f>
        <v>51618.81</v>
      </c>
      <c r="M131" s="36">
        <f t="shared" ref="M131:P131" si="85">M8</f>
        <v>52651.186199999996</v>
      </c>
      <c r="N131" s="36">
        <f t="shared" si="85"/>
        <v>54757.233648000001</v>
      </c>
      <c r="O131" s="36">
        <f t="shared" si="85"/>
        <v>57495.095330400007</v>
      </c>
      <c r="P131" s="36">
        <f t="shared" si="85"/>
        <v>60944.801050224007</v>
      </c>
      <c r="R131" s="126"/>
      <c r="S131" s="126"/>
      <c r="T131" s="126"/>
      <c r="U131" s="126"/>
      <c r="V131" s="126"/>
      <c r="W131" s="126"/>
    </row>
    <row r="132" spans="1:23" x14ac:dyDescent="0.2">
      <c r="A132" s="6" t="s">
        <v>128</v>
      </c>
      <c r="B132" s="6"/>
      <c r="C132" s="6"/>
      <c r="F132" s="37" t="s">
        <v>111</v>
      </c>
      <c r="I132" s="27">
        <v>25231</v>
      </c>
      <c r="J132" s="27">
        <v>28925</v>
      </c>
      <c r="K132" s="27">
        <v>28475</v>
      </c>
      <c r="L132" s="36" cm="1">
        <f t="array" ref="L132:P132">L9:P9</f>
        <v>29422.721699999998</v>
      </c>
      <c r="M132" s="36">
        <v>30011.176133999998</v>
      </c>
      <c r="N132" s="36">
        <v>31211.623179360002</v>
      </c>
      <c r="O132" s="36">
        <v>32772.204338328003</v>
      </c>
      <c r="P132" s="36">
        <v>34738.536598627688</v>
      </c>
      <c r="R132" s="126"/>
      <c r="S132" s="126"/>
      <c r="T132" s="126"/>
      <c r="U132" s="126"/>
      <c r="V132" s="126"/>
      <c r="W132" s="126"/>
    </row>
    <row r="133" spans="1:23" x14ac:dyDescent="0.2">
      <c r="R133" s="87"/>
      <c r="S133" s="87"/>
      <c r="T133" s="87"/>
      <c r="U133" s="87"/>
      <c r="V133" s="87"/>
      <c r="W133" s="87"/>
    </row>
    <row r="134" spans="1:23" x14ac:dyDescent="0.2">
      <c r="A134" s="13" t="s">
        <v>19</v>
      </c>
      <c r="F134" s="37"/>
      <c r="I134" s="27">
        <v>4667</v>
      </c>
      <c r="J134" s="27">
        <v>4131</v>
      </c>
      <c r="K134" s="27">
        <v>4427</v>
      </c>
      <c r="L134" s="36">
        <f>(L140*L131)/365</f>
        <v>4384.0633150684926</v>
      </c>
      <c r="M134" s="36">
        <f t="shared" ref="M134:P134" si="86">(M140*M131)/365</f>
        <v>4471.7445813698632</v>
      </c>
      <c r="N134" s="36">
        <f t="shared" si="86"/>
        <v>4650.6143646246574</v>
      </c>
      <c r="O134" s="36">
        <f t="shared" si="86"/>
        <v>4883.1450828558909</v>
      </c>
      <c r="P134" s="36">
        <f t="shared" si="86"/>
        <v>5176.1337878272443</v>
      </c>
      <c r="R134" s="68"/>
      <c r="S134" s="68"/>
      <c r="T134" s="68"/>
      <c r="U134" s="68"/>
      <c r="V134" s="68"/>
      <c r="W134" s="68"/>
    </row>
    <row r="135" spans="1:23" x14ac:dyDescent="0.2">
      <c r="A135" s="13" t="s">
        <v>20</v>
      </c>
      <c r="F135" s="37"/>
      <c r="I135" s="27">
        <v>8420</v>
      </c>
      <c r="J135" s="27">
        <v>8454</v>
      </c>
      <c r="K135" s="27">
        <v>7519</v>
      </c>
      <c r="L135" s="36">
        <f>(L141*$L$132)/365</f>
        <v>8423.7655278082184</v>
      </c>
      <c r="M135" s="36">
        <f t="shared" ref="M135:P135" si="87">(M141*M132)/365</f>
        <v>8592.2408383643833</v>
      </c>
      <c r="N135" s="36">
        <f t="shared" si="87"/>
        <v>8935.9304718989606</v>
      </c>
      <c r="O135" s="36">
        <f t="shared" si="87"/>
        <v>9382.7269954939075</v>
      </c>
      <c r="P135" s="36">
        <f t="shared" si="87"/>
        <v>9945.6906152235442</v>
      </c>
      <c r="R135" s="68"/>
      <c r="S135" s="68"/>
      <c r="T135" s="68"/>
      <c r="U135" s="68"/>
      <c r="V135" s="68"/>
      <c r="W135" s="68"/>
    </row>
    <row r="136" spans="1:23" x14ac:dyDescent="0.2">
      <c r="A136" s="13" t="s">
        <v>21</v>
      </c>
      <c r="F136" s="37"/>
      <c r="I136" s="27">
        <v>2129</v>
      </c>
      <c r="J136" s="27">
        <v>1942</v>
      </c>
      <c r="K136" s="27">
        <v>1854</v>
      </c>
      <c r="L136" s="36">
        <f>L131*L143</f>
        <v>2064.7523999999999</v>
      </c>
      <c r="M136" s="36">
        <f t="shared" ref="M136:P136" si="88">M131*M143</f>
        <v>2106.0474479999998</v>
      </c>
      <c r="N136" s="36">
        <f t="shared" si="88"/>
        <v>2190.28934592</v>
      </c>
      <c r="O136" s="36">
        <f t="shared" si="88"/>
        <v>2299.8038132160004</v>
      </c>
      <c r="P136" s="36">
        <f t="shared" si="88"/>
        <v>2437.7920420089604</v>
      </c>
      <c r="R136" s="68"/>
      <c r="S136" s="68"/>
      <c r="T136" s="68"/>
      <c r="U136" s="68"/>
      <c r="V136" s="68"/>
      <c r="W136" s="68"/>
    </row>
    <row r="137" spans="1:23" x14ac:dyDescent="0.2">
      <c r="A137" s="13" t="s">
        <v>32</v>
      </c>
      <c r="F137" s="37"/>
      <c r="I137" s="27">
        <v>3358</v>
      </c>
      <c r="J137" s="27">
        <v>2862</v>
      </c>
      <c r="K137" s="27">
        <v>2851</v>
      </c>
      <c r="L137" s="36">
        <f>(L142*L132)/365</f>
        <v>3022.8823664383563</v>
      </c>
      <c r="M137" s="36">
        <f>(M142*M132)/365</f>
        <v>3083.3400137671233</v>
      </c>
      <c r="N137" s="36">
        <f>(N142*N132)/365</f>
        <v>3206.6736143178082</v>
      </c>
      <c r="O137" s="36">
        <f>(O142*O132)/365</f>
        <v>3367.0072950336994</v>
      </c>
      <c r="P137" s="36">
        <f>(P142*P132)/365</f>
        <v>3569.0277327357217</v>
      </c>
      <c r="R137" s="68"/>
      <c r="S137" s="68"/>
      <c r="T137" s="68"/>
      <c r="U137" s="68"/>
      <c r="V137" s="68"/>
      <c r="W137" s="68"/>
    </row>
    <row r="138" spans="1:23" x14ac:dyDescent="0.2">
      <c r="A138" s="13" t="s">
        <v>34</v>
      </c>
      <c r="F138" s="37"/>
      <c r="I138" s="27">
        <v>6220</v>
      </c>
      <c r="J138" s="27">
        <v>5723</v>
      </c>
      <c r="K138" s="27">
        <v>5725</v>
      </c>
      <c r="L138" s="36">
        <f>L131*L144</f>
        <v>6194.2571999999991</v>
      </c>
      <c r="M138" s="36">
        <f t="shared" ref="M138:P138" si="89">M131*M144</f>
        <v>6318.142343999999</v>
      </c>
      <c r="N138" s="36">
        <f t="shared" si="89"/>
        <v>6570.8680377600003</v>
      </c>
      <c r="O138" s="36">
        <f t="shared" si="89"/>
        <v>6899.4114396480009</v>
      </c>
      <c r="P138" s="36">
        <f t="shared" si="89"/>
        <v>7313.3761260268802</v>
      </c>
      <c r="R138" s="68"/>
      <c r="S138" s="68"/>
      <c r="T138" s="68"/>
      <c r="U138" s="68"/>
      <c r="V138" s="68"/>
      <c r="W138" s="68"/>
    </row>
    <row r="139" spans="1:23" x14ac:dyDescent="0.2">
      <c r="R139" s="87"/>
      <c r="S139" s="87"/>
      <c r="T139" s="87"/>
      <c r="U139" s="87"/>
      <c r="V139" s="87"/>
      <c r="W139" s="87"/>
    </row>
    <row r="140" spans="1:23" x14ac:dyDescent="0.2">
      <c r="A140" s="3" t="s">
        <v>125</v>
      </c>
      <c r="F140" s="37" t="s">
        <v>126</v>
      </c>
      <c r="I140" s="73"/>
      <c r="J140" s="72">
        <f>(AVERAGE(I134:J134)/J131)*365</f>
        <v>31.349649530429346</v>
      </c>
      <c r="K140" s="72">
        <f t="shared" ref="K140" si="90">(AVERAGE(J134:K134)/K131)*365</f>
        <v>30.408375842062224</v>
      </c>
      <c r="L140" s="82">
        <v>31</v>
      </c>
      <c r="M140" s="82">
        <v>31</v>
      </c>
      <c r="N140" s="82">
        <v>31</v>
      </c>
      <c r="O140" s="82">
        <v>31</v>
      </c>
      <c r="P140" s="82">
        <v>31</v>
      </c>
      <c r="R140" s="87"/>
      <c r="S140" s="87"/>
      <c r="T140" s="87"/>
      <c r="U140" s="87"/>
      <c r="V140" s="87"/>
      <c r="W140" s="87"/>
    </row>
    <row r="141" spans="1:23" x14ac:dyDescent="0.2">
      <c r="A141" s="3" t="s">
        <v>127</v>
      </c>
      <c r="F141" s="37" t="s">
        <v>129</v>
      </c>
      <c r="I141" s="73"/>
      <c r="J141" s="72">
        <f>(AVERAGE(I135:J135)/J132)*365</f>
        <v>106.46516853932584</v>
      </c>
      <c r="K141" s="72">
        <f>(AVERAGE(J135:K135)/K132)*365</f>
        <v>102.37304653204566</v>
      </c>
      <c r="L141" s="82">
        <v>104.5</v>
      </c>
      <c r="M141" s="82">
        <v>104.5</v>
      </c>
      <c r="N141" s="82">
        <v>104.5</v>
      </c>
      <c r="O141" s="82">
        <v>104.5</v>
      </c>
      <c r="P141" s="82">
        <v>104.5</v>
      </c>
      <c r="R141" s="87"/>
      <c r="S141" s="87"/>
      <c r="T141" s="87"/>
      <c r="U141" s="87"/>
      <c r="V141" s="87"/>
      <c r="W141" s="87"/>
    </row>
    <row r="142" spans="1:23" x14ac:dyDescent="0.2">
      <c r="A142" s="3" t="s">
        <v>130</v>
      </c>
      <c r="F142" s="37" t="s">
        <v>131</v>
      </c>
      <c r="I142" s="73"/>
      <c r="J142" s="72">
        <f>(AVERAGE(I137:J137)/J132)*365</f>
        <v>39.24459809853068</v>
      </c>
      <c r="K142" s="72">
        <f>(AVERAGE(J137:K137)/K132)*365</f>
        <v>36.6153643546971</v>
      </c>
      <c r="L142" s="82">
        <v>37.5</v>
      </c>
      <c r="M142" s="82">
        <v>37.5</v>
      </c>
      <c r="N142" s="82">
        <v>37.5</v>
      </c>
      <c r="O142" s="82">
        <v>37.5</v>
      </c>
      <c r="P142" s="82">
        <v>37.5</v>
      </c>
      <c r="R142" s="87"/>
      <c r="S142" s="87"/>
      <c r="T142" s="87"/>
      <c r="U142" s="87"/>
      <c r="V142" s="87"/>
      <c r="W142" s="87"/>
    </row>
    <row r="143" spans="1:23" x14ac:dyDescent="0.2">
      <c r="A143" s="3" t="s">
        <v>133</v>
      </c>
      <c r="F143" s="37" t="s">
        <v>132</v>
      </c>
      <c r="I143" s="65">
        <f>I136/I131</f>
        <v>4.5579105116677371E-2</v>
      </c>
      <c r="J143" s="65">
        <f>J136/J131</f>
        <v>3.7917097838608277E-2</v>
      </c>
      <c r="K143" s="65">
        <f>K136/K131</f>
        <v>3.6096725205404773E-2</v>
      </c>
      <c r="L143" s="83">
        <v>0.04</v>
      </c>
      <c r="M143" s="83">
        <v>0.04</v>
      </c>
      <c r="N143" s="83">
        <v>0.04</v>
      </c>
      <c r="O143" s="83">
        <v>0.04</v>
      </c>
      <c r="P143" s="83">
        <v>0.04</v>
      </c>
      <c r="R143" s="87"/>
      <c r="S143" s="87"/>
      <c r="T143" s="87"/>
      <c r="U143" s="87"/>
      <c r="V143" s="87"/>
      <c r="W143" s="87"/>
    </row>
    <row r="144" spans="1:23" x14ac:dyDescent="0.2">
      <c r="A144" s="3" t="s">
        <v>134</v>
      </c>
      <c r="F144" s="37" t="s">
        <v>132</v>
      </c>
      <c r="I144" s="65">
        <f>I137/I132</f>
        <v>0.13309024612579762</v>
      </c>
      <c r="J144" s="75">
        <f>J138/J131</f>
        <v>0.11174024249760822</v>
      </c>
      <c r="K144" s="75">
        <f t="shared" ref="K144" si="91">K138/K131</f>
        <v>0.11146372804797321</v>
      </c>
      <c r="L144" s="83">
        <v>0.12</v>
      </c>
      <c r="M144" s="83">
        <v>0.12</v>
      </c>
      <c r="N144" s="83">
        <v>0.12</v>
      </c>
      <c r="O144" s="83">
        <v>0.12</v>
      </c>
      <c r="P144" s="83">
        <v>0.12</v>
      </c>
      <c r="R144" s="87"/>
      <c r="S144" s="87"/>
      <c r="T144" s="87"/>
      <c r="U144" s="87"/>
      <c r="V144" s="87"/>
      <c r="W144" s="87"/>
    </row>
    <row r="145" spans="1:23" x14ac:dyDescent="0.2">
      <c r="R145" s="87"/>
      <c r="S145" s="87"/>
      <c r="T145" s="87"/>
      <c r="U145" s="87"/>
      <c r="V145" s="87"/>
      <c r="W145" s="87"/>
    </row>
    <row r="146" spans="1:23" x14ac:dyDescent="0.2">
      <c r="A146" s="22" t="s">
        <v>186</v>
      </c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R146" s="23"/>
      <c r="S146" s="23"/>
      <c r="T146" s="23"/>
      <c r="U146" s="23"/>
      <c r="V146" s="23"/>
      <c r="W146" s="23"/>
    </row>
    <row r="147" spans="1:23" x14ac:dyDescent="0.2">
      <c r="A147" s="3" t="s">
        <v>137</v>
      </c>
      <c r="I147" s="87"/>
      <c r="J147" s="36">
        <f>I150</f>
        <v>222</v>
      </c>
      <c r="K147" s="36">
        <f t="shared" ref="K147:P147" si="92">J150</f>
        <v>240</v>
      </c>
      <c r="L147" s="36">
        <f t="shared" si="92"/>
        <v>534</v>
      </c>
      <c r="M147" s="36">
        <f t="shared" si="92"/>
        <v>761.7977239980728</v>
      </c>
      <c r="N147" s="36">
        <f t="shared" si="92"/>
        <v>1007.1044024761075</v>
      </c>
      <c r="O147" s="36">
        <f t="shared" si="92"/>
        <v>1288.1293480932634</v>
      </c>
      <c r="P147" s="36">
        <f t="shared" si="92"/>
        <v>1615.588040991277</v>
      </c>
      <c r="R147" s="87"/>
      <c r="S147" s="87"/>
      <c r="T147" s="87"/>
      <c r="U147" s="87"/>
      <c r="V147" s="87"/>
      <c r="W147" s="87"/>
    </row>
    <row r="148" spans="1:23" x14ac:dyDescent="0.2">
      <c r="A148" s="3" t="s">
        <v>135</v>
      </c>
      <c r="F148" s="37" t="s">
        <v>111</v>
      </c>
      <c r="I148" s="96"/>
      <c r="J148" s="20">
        <f t="shared" ref="J148:P148" si="93">J29</f>
        <v>1131</v>
      </c>
      <c r="K148" s="20">
        <f t="shared" si="93"/>
        <v>1000</v>
      </c>
      <c r="L148" s="20">
        <f t="shared" si="93"/>
        <v>933.79772399807291</v>
      </c>
      <c r="M148" s="20">
        <f t="shared" si="93"/>
        <v>951.30667847803466</v>
      </c>
      <c r="N148" s="20">
        <f t="shared" si="93"/>
        <v>987.02494561715594</v>
      </c>
      <c r="O148" s="20">
        <f t="shared" si="93"/>
        <v>1033.4586928980136</v>
      </c>
      <c r="P148" s="20">
        <f t="shared" si="93"/>
        <v>1091.9652144718943</v>
      </c>
      <c r="Q148" s="20"/>
      <c r="R148" s="87"/>
      <c r="S148" s="87"/>
      <c r="T148" s="87"/>
      <c r="U148" s="87"/>
      <c r="V148" s="87"/>
      <c r="W148" s="87"/>
    </row>
    <row r="149" spans="1:23" x14ac:dyDescent="0.2">
      <c r="A149" s="3" t="s">
        <v>140</v>
      </c>
      <c r="C149" s="114"/>
      <c r="F149" s="37" t="s">
        <v>179</v>
      </c>
      <c r="I149" s="97"/>
      <c r="J149" s="27">
        <v>-1113</v>
      </c>
      <c r="K149" s="27">
        <v>-706</v>
      </c>
      <c r="L149" s="38">
        <v>-706</v>
      </c>
      <c r="M149" s="38">
        <v>-706</v>
      </c>
      <c r="N149" s="38">
        <v>-706</v>
      </c>
      <c r="O149" s="38">
        <v>-706</v>
      </c>
      <c r="P149" s="38">
        <v>-706</v>
      </c>
      <c r="R149" s="87"/>
      <c r="S149" s="87"/>
      <c r="T149" s="87"/>
      <c r="U149" s="87"/>
      <c r="V149" s="87"/>
      <c r="W149" s="87"/>
    </row>
    <row r="150" spans="1:23" x14ac:dyDescent="0.2">
      <c r="A150" s="5" t="s">
        <v>136</v>
      </c>
      <c r="B150" s="5"/>
      <c r="C150" s="5"/>
      <c r="D150" s="5"/>
      <c r="E150" s="5"/>
      <c r="F150" s="5"/>
      <c r="G150" s="5"/>
      <c r="H150" s="5"/>
      <c r="I150" s="61">
        <f>I64</f>
        <v>222</v>
      </c>
      <c r="J150" s="61">
        <f>J147+J148+J149</f>
        <v>240</v>
      </c>
      <c r="K150" s="61">
        <f t="shared" ref="K150:P150" si="94">K147+K148+K149</f>
        <v>534</v>
      </c>
      <c r="L150" s="61">
        <f t="shared" si="94"/>
        <v>761.7977239980728</v>
      </c>
      <c r="M150" s="61">
        <f t="shared" si="94"/>
        <v>1007.1044024761075</v>
      </c>
      <c r="N150" s="61">
        <f t="shared" si="94"/>
        <v>1288.1293480932634</v>
      </c>
      <c r="O150" s="61">
        <f t="shared" si="94"/>
        <v>1615.588040991277</v>
      </c>
      <c r="P150" s="61">
        <f t="shared" si="94"/>
        <v>2001.5532554631714</v>
      </c>
      <c r="R150" s="87"/>
      <c r="S150" s="87"/>
      <c r="T150" s="87"/>
      <c r="U150" s="87"/>
      <c r="V150" s="87"/>
      <c r="W150" s="87"/>
    </row>
    <row r="151" spans="1:23" x14ac:dyDescent="0.2">
      <c r="A151" s="3" t="s">
        <v>138</v>
      </c>
      <c r="I151" s="80">
        <f t="shared" ref="I151:P151" si="95">I150-I64</f>
        <v>0</v>
      </c>
      <c r="J151" s="80">
        <f t="shared" si="95"/>
        <v>0</v>
      </c>
      <c r="K151" s="80">
        <f t="shared" si="95"/>
        <v>0</v>
      </c>
      <c r="L151" s="80">
        <f t="shared" si="95"/>
        <v>0</v>
      </c>
      <c r="M151" s="80">
        <f t="shared" si="95"/>
        <v>0</v>
      </c>
      <c r="N151" s="80">
        <f t="shared" si="95"/>
        <v>0</v>
      </c>
      <c r="O151" s="80">
        <f t="shared" si="95"/>
        <v>0</v>
      </c>
      <c r="P151" s="80">
        <f t="shared" si="95"/>
        <v>0</v>
      </c>
      <c r="R151" s="87"/>
      <c r="S151" s="87"/>
      <c r="T151" s="87"/>
      <c r="U151" s="87"/>
      <c r="V151" s="87"/>
      <c r="W151" s="87"/>
    </row>
    <row r="152" spans="1:23" x14ac:dyDescent="0.2">
      <c r="R152" s="87"/>
      <c r="S152" s="87"/>
      <c r="T152" s="87"/>
      <c r="U152" s="87"/>
      <c r="V152" s="87"/>
      <c r="W152" s="87"/>
    </row>
    <row r="153" spans="1:23" x14ac:dyDescent="0.2">
      <c r="A153" s="22" t="s">
        <v>145</v>
      </c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R153" s="23"/>
      <c r="S153" s="23"/>
      <c r="T153" s="23"/>
      <c r="U153" s="23"/>
      <c r="V153" s="23"/>
      <c r="W153" s="23"/>
    </row>
    <row r="154" spans="1:23" x14ac:dyDescent="0.2">
      <c r="A154" s="3" t="s">
        <v>141</v>
      </c>
      <c r="I154" s="87"/>
      <c r="J154" s="36">
        <f>I158</f>
        <v>4791</v>
      </c>
      <c r="K154" s="36">
        <f t="shared" ref="K154:P154" si="96">J158</f>
        <v>5081</v>
      </c>
      <c r="L154" s="36">
        <f t="shared" si="96"/>
        <v>5000</v>
      </c>
      <c r="M154" s="36">
        <f t="shared" si="96"/>
        <v>4989.5714285714284</v>
      </c>
      <c r="N154" s="36">
        <f t="shared" si="96"/>
        <v>4918.7142857142853</v>
      </c>
      <c r="O154" s="36">
        <f t="shared" si="96"/>
        <v>4787.4285714285706</v>
      </c>
      <c r="P154" s="36">
        <f t="shared" si="96"/>
        <v>4595.7142857142844</v>
      </c>
      <c r="R154" s="87"/>
      <c r="S154" s="87"/>
      <c r="T154" s="87"/>
      <c r="U154" s="87"/>
      <c r="V154" s="87"/>
      <c r="W154" s="87"/>
    </row>
    <row r="155" spans="1:23" x14ac:dyDescent="0.2">
      <c r="A155" s="3" t="s">
        <v>142</v>
      </c>
      <c r="F155" s="37" t="s">
        <v>149</v>
      </c>
      <c r="I155" s="87"/>
      <c r="J155" s="36">
        <f>J164</f>
        <v>969</v>
      </c>
      <c r="K155" s="36">
        <f t="shared" ref="K155:P155" si="97">K164</f>
        <v>812</v>
      </c>
      <c r="L155" s="36">
        <f t="shared" si="97"/>
        <v>846</v>
      </c>
      <c r="M155" s="36">
        <f t="shared" si="97"/>
        <v>846</v>
      </c>
      <c r="N155" s="36">
        <f t="shared" si="97"/>
        <v>846</v>
      </c>
      <c r="O155" s="36">
        <f t="shared" si="97"/>
        <v>846</v>
      </c>
      <c r="P155" s="36">
        <f t="shared" si="97"/>
        <v>846</v>
      </c>
      <c r="R155" s="87"/>
      <c r="S155" s="87"/>
      <c r="T155" s="87"/>
      <c r="U155" s="87"/>
      <c r="V155" s="87"/>
      <c r="W155" s="87"/>
    </row>
    <row r="156" spans="1:23" x14ac:dyDescent="0.2">
      <c r="A156" s="3" t="s">
        <v>143</v>
      </c>
      <c r="F156" s="37" t="s">
        <v>194</v>
      </c>
      <c r="I156" s="87"/>
      <c r="J156" s="36">
        <f>J177*-1</f>
        <v>-703</v>
      </c>
      <c r="K156" s="36">
        <f t="shared" ref="K156:P156" si="98">K177*-1</f>
        <v>-796</v>
      </c>
      <c r="L156" s="36">
        <f t="shared" si="98"/>
        <v>-856.42857142857144</v>
      </c>
      <c r="M156" s="36">
        <f t="shared" si="98"/>
        <v>-916.85714285714289</v>
      </c>
      <c r="N156" s="36">
        <f t="shared" si="98"/>
        <v>-977.28571428571422</v>
      </c>
      <c r="O156" s="36">
        <f t="shared" si="98"/>
        <v>-1037.7142857142858</v>
      </c>
      <c r="P156" s="36">
        <f t="shared" si="98"/>
        <v>-1098.1428571428571</v>
      </c>
      <c r="R156" s="87"/>
      <c r="S156" s="87"/>
      <c r="T156" s="87"/>
      <c r="U156" s="87"/>
      <c r="V156" s="87"/>
      <c r="W156" s="87"/>
    </row>
    <row r="157" spans="1:23" x14ac:dyDescent="0.2">
      <c r="A157" s="3" t="s">
        <v>144</v>
      </c>
      <c r="I157" s="87"/>
      <c r="J157" s="36">
        <v>24</v>
      </c>
      <c r="K157" s="36">
        <v>-97</v>
      </c>
      <c r="L157" s="36">
        <v>0</v>
      </c>
      <c r="M157" s="36">
        <v>0</v>
      </c>
      <c r="N157" s="36">
        <v>0</v>
      </c>
      <c r="O157" s="36">
        <v>0</v>
      </c>
      <c r="P157" s="36">
        <v>0</v>
      </c>
      <c r="R157" s="87"/>
      <c r="S157" s="87"/>
      <c r="T157" s="87"/>
      <c r="U157" s="87"/>
      <c r="V157" s="87"/>
      <c r="W157" s="87"/>
    </row>
    <row r="158" spans="1:23" x14ac:dyDescent="0.2">
      <c r="A158" s="5" t="s">
        <v>136</v>
      </c>
      <c r="B158" s="5"/>
      <c r="C158" s="5"/>
      <c r="D158" s="5"/>
      <c r="E158" s="5"/>
      <c r="F158" s="5"/>
      <c r="G158" s="5"/>
      <c r="H158" s="5"/>
      <c r="I158" s="61">
        <f>I48</f>
        <v>4791</v>
      </c>
      <c r="J158" s="61">
        <f>SUM(J154:J157)</f>
        <v>5081</v>
      </c>
      <c r="K158" s="61">
        <f t="shared" ref="K158:P158" si="99">SUM(K154:K157)</f>
        <v>5000</v>
      </c>
      <c r="L158" s="61">
        <f>SUM(L154:L157)</f>
        <v>4989.5714285714284</v>
      </c>
      <c r="M158" s="61">
        <f t="shared" si="99"/>
        <v>4918.7142857142853</v>
      </c>
      <c r="N158" s="61">
        <f t="shared" si="99"/>
        <v>4787.4285714285706</v>
      </c>
      <c r="O158" s="61">
        <f t="shared" si="99"/>
        <v>4595.7142857142844</v>
      </c>
      <c r="P158" s="61">
        <f t="shared" si="99"/>
        <v>4343.5714285714275</v>
      </c>
      <c r="R158" s="87"/>
      <c r="S158" s="87"/>
      <c r="T158" s="87"/>
      <c r="U158" s="87"/>
      <c r="V158" s="87"/>
      <c r="W158" s="87"/>
    </row>
    <row r="159" spans="1:23" x14ac:dyDescent="0.2">
      <c r="A159" s="3" t="s">
        <v>138</v>
      </c>
      <c r="I159" s="80">
        <f t="shared" ref="I159:P159" si="100">I158-I48</f>
        <v>0</v>
      </c>
      <c r="J159" s="80">
        <f t="shared" si="100"/>
        <v>0</v>
      </c>
      <c r="K159" s="80">
        <f t="shared" si="100"/>
        <v>0</v>
      </c>
      <c r="L159" s="80">
        <f t="shared" si="100"/>
        <v>0</v>
      </c>
      <c r="M159" s="80">
        <f t="shared" si="100"/>
        <v>0</v>
      </c>
      <c r="N159" s="80">
        <f t="shared" si="100"/>
        <v>0</v>
      </c>
      <c r="O159" s="80">
        <f t="shared" si="100"/>
        <v>0</v>
      </c>
      <c r="P159" s="80">
        <f t="shared" si="100"/>
        <v>0</v>
      </c>
      <c r="R159" s="87"/>
      <c r="S159" s="87"/>
      <c r="T159" s="87"/>
      <c r="U159" s="87"/>
      <c r="V159" s="87"/>
      <c r="W159" s="87"/>
    </row>
    <row r="160" spans="1:23" x14ac:dyDescent="0.2">
      <c r="R160" s="87"/>
      <c r="S160" s="87"/>
      <c r="T160" s="87"/>
      <c r="U160" s="87"/>
      <c r="V160" s="87"/>
      <c r="W160" s="87"/>
    </row>
    <row r="161" spans="1:23" x14ac:dyDescent="0.2">
      <c r="A161" s="22" t="s">
        <v>147</v>
      </c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R161" s="23"/>
      <c r="S161" s="23"/>
      <c r="T161" s="23"/>
      <c r="U161" s="23"/>
      <c r="V161" s="23"/>
      <c r="W161" s="23"/>
    </row>
    <row r="162" spans="1:23" x14ac:dyDescent="0.2">
      <c r="A162" s="3" t="s">
        <v>146</v>
      </c>
      <c r="B162" s="86">
        <v>846</v>
      </c>
      <c r="F162" s="37" t="s">
        <v>149</v>
      </c>
      <c r="I162" s="36">
        <f>I109*-1</f>
        <v>758</v>
      </c>
      <c r="J162" s="36">
        <f t="shared" ref="J162:K162" si="101">J109*-1</f>
        <v>969</v>
      </c>
      <c r="K162" s="36">
        <f t="shared" si="101"/>
        <v>812</v>
      </c>
      <c r="L162" s="89">
        <v>846</v>
      </c>
      <c r="M162" s="89">
        <v>846</v>
      </c>
      <c r="N162" s="89">
        <v>846</v>
      </c>
      <c r="O162" s="89">
        <v>846</v>
      </c>
      <c r="P162" s="89">
        <v>846</v>
      </c>
      <c r="R162" s="87"/>
      <c r="S162" s="87"/>
      <c r="T162" s="87"/>
      <c r="U162" s="87"/>
      <c r="V162" s="87"/>
      <c r="W162" s="87"/>
    </row>
    <row r="163" spans="1:23" x14ac:dyDescent="0.2">
      <c r="A163" s="3" t="s">
        <v>174</v>
      </c>
      <c r="F163" s="37" t="s">
        <v>150</v>
      </c>
      <c r="I163" s="85">
        <v>0</v>
      </c>
      <c r="J163" s="85">
        <f>J44</f>
        <v>0</v>
      </c>
      <c r="K163" s="85">
        <f>K44</f>
        <v>0</v>
      </c>
      <c r="L163" s="100">
        <f>$B163</f>
        <v>0</v>
      </c>
      <c r="M163" s="100">
        <f t="shared" ref="M163:P163" si="102">$B163</f>
        <v>0</v>
      </c>
      <c r="N163" s="100">
        <f t="shared" si="102"/>
        <v>0</v>
      </c>
      <c r="O163" s="100">
        <f t="shared" si="102"/>
        <v>0</v>
      </c>
      <c r="P163" s="100">
        <f t="shared" si="102"/>
        <v>0</v>
      </c>
      <c r="Q163" s="20"/>
      <c r="R163" s="87"/>
      <c r="S163" s="87"/>
      <c r="T163" s="87"/>
      <c r="U163" s="87"/>
      <c r="V163" s="87"/>
      <c r="W163" s="87"/>
    </row>
    <row r="164" spans="1:23" x14ac:dyDescent="0.2">
      <c r="A164" s="5" t="s">
        <v>148</v>
      </c>
      <c r="B164" s="5"/>
      <c r="C164" s="5"/>
      <c r="D164" s="5"/>
      <c r="E164" s="5"/>
      <c r="F164" s="5"/>
      <c r="G164" s="5"/>
      <c r="H164" s="5"/>
      <c r="I164" s="61">
        <f>SUM(I162:I163)</f>
        <v>758</v>
      </c>
      <c r="J164" s="61">
        <f>SUM(J162:J163)</f>
        <v>969</v>
      </c>
      <c r="K164" s="61">
        <f t="shared" ref="K164:P164" si="103">SUM(K162:K163)</f>
        <v>812</v>
      </c>
      <c r="L164" s="61">
        <f t="shared" si="103"/>
        <v>846</v>
      </c>
      <c r="M164" s="61">
        <f t="shared" si="103"/>
        <v>846</v>
      </c>
      <c r="N164" s="61">
        <f t="shared" si="103"/>
        <v>846</v>
      </c>
      <c r="O164" s="61">
        <f t="shared" si="103"/>
        <v>846</v>
      </c>
      <c r="P164" s="61">
        <f t="shared" si="103"/>
        <v>846</v>
      </c>
      <c r="R164" s="87"/>
      <c r="S164" s="87"/>
      <c r="T164" s="87"/>
      <c r="U164" s="87"/>
      <c r="V164" s="87"/>
      <c r="W164" s="87"/>
    </row>
    <row r="165" spans="1:23" x14ac:dyDescent="0.2">
      <c r="A165" s="3" t="s">
        <v>138</v>
      </c>
      <c r="I165" s="80">
        <f>I164+I109</f>
        <v>0</v>
      </c>
      <c r="J165" s="80">
        <f t="shared" ref="J165" si="104">J164+J109</f>
        <v>0</v>
      </c>
      <c r="K165" s="80">
        <f>K164+K109</f>
        <v>0</v>
      </c>
      <c r="L165" s="80">
        <f>L164+L109</f>
        <v>0</v>
      </c>
      <c r="M165" s="80">
        <f t="shared" ref="M165:P165" si="105">M164+M109</f>
        <v>0</v>
      </c>
      <c r="N165" s="80">
        <f t="shared" si="105"/>
        <v>0</v>
      </c>
      <c r="O165" s="80">
        <f t="shared" si="105"/>
        <v>0</v>
      </c>
      <c r="P165" s="80">
        <f t="shared" si="105"/>
        <v>0</v>
      </c>
      <c r="R165" s="87"/>
      <c r="S165" s="87"/>
      <c r="T165" s="87"/>
      <c r="U165" s="87"/>
      <c r="V165" s="87"/>
      <c r="W165" s="87"/>
    </row>
    <row r="166" spans="1:23" x14ac:dyDescent="0.2">
      <c r="R166" s="87"/>
      <c r="S166" s="87"/>
      <c r="T166" s="87"/>
      <c r="U166" s="87"/>
      <c r="V166" s="87"/>
      <c r="W166" s="87"/>
    </row>
    <row r="167" spans="1:23" x14ac:dyDescent="0.2">
      <c r="A167" s="22" t="s">
        <v>151</v>
      </c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R167" s="23"/>
      <c r="S167" s="23"/>
      <c r="T167" s="23"/>
      <c r="U167" s="23"/>
      <c r="V167" s="23"/>
      <c r="W167" s="23"/>
    </row>
    <row r="168" spans="1:23" ht="16" x14ac:dyDescent="0.2">
      <c r="A168" s="3" t="s">
        <v>9</v>
      </c>
      <c r="B168" s="43" t="s">
        <v>152</v>
      </c>
      <c r="C168" s="43" t="s">
        <v>153</v>
      </c>
      <c r="D168" s="43" t="s">
        <v>154</v>
      </c>
      <c r="G168"/>
      <c r="H168"/>
      <c r="I168" s="88"/>
      <c r="J168" s="88"/>
      <c r="K168" s="88"/>
      <c r="L168"/>
      <c r="M168"/>
      <c r="N168"/>
      <c r="O168"/>
      <c r="P168"/>
      <c r="Q168"/>
      <c r="R168" s="88"/>
      <c r="S168" s="88"/>
      <c r="T168" s="88"/>
      <c r="U168" s="88"/>
      <c r="V168" s="88"/>
      <c r="W168" s="88"/>
    </row>
    <row r="169" spans="1:23" ht="16" x14ac:dyDescent="0.2">
      <c r="A169" s="7" cm="1">
        <f t="array" ref="A169:A173">TRANSPOSE(L5:P5)</f>
        <v>2025</v>
      </c>
      <c r="B169" s="36" cm="1">
        <f t="array" ref="B169:B173">TRANSPOSE(L164:P164)</f>
        <v>846</v>
      </c>
      <c r="C169" s="91">
        <v>14</v>
      </c>
      <c r="D169" s="91">
        <v>0</v>
      </c>
      <c r="F169" s="37" t="s">
        <v>193</v>
      </c>
      <c r="G169"/>
      <c r="H169"/>
      <c r="I169" s="87"/>
      <c r="J169" s="87"/>
      <c r="K169" s="87"/>
      <c r="L169" s="36" cm="1">
        <f t="array" ref="L169:P173">IF(_xlfn.ANCHORARRAY(A169)&lt;=L5:P5,SLN(_xlfn.ANCHORARRAY(B169),D169:D173,C169:C173),0)</f>
        <v>60.428571428571431</v>
      </c>
      <c r="M169" s="36">
        <v>60.428571428571431</v>
      </c>
      <c r="N169" s="36">
        <v>60.428571428571431</v>
      </c>
      <c r="O169" s="36">
        <v>60.428571428571431</v>
      </c>
      <c r="P169" s="36">
        <v>60.428571428571431</v>
      </c>
      <c r="Q169"/>
      <c r="R169" s="88"/>
      <c r="S169" s="88"/>
      <c r="T169" s="88"/>
      <c r="U169" s="88"/>
      <c r="V169" s="88"/>
      <c r="W169" s="88"/>
    </row>
    <row r="170" spans="1:23" ht="16" x14ac:dyDescent="0.2">
      <c r="A170" s="7">
        <v>2026</v>
      </c>
      <c r="B170" s="36">
        <v>846</v>
      </c>
      <c r="C170" s="91">
        <v>14</v>
      </c>
      <c r="D170" s="91">
        <v>0</v>
      </c>
      <c r="F170" s="37" t="s">
        <v>193</v>
      </c>
      <c r="G170"/>
      <c r="H170"/>
      <c r="I170" s="87"/>
      <c r="J170" s="87"/>
      <c r="K170" s="87"/>
      <c r="L170" s="36">
        <v>0</v>
      </c>
      <c r="M170" s="36">
        <v>60.428571428571431</v>
      </c>
      <c r="N170" s="36">
        <v>60.428571428571431</v>
      </c>
      <c r="O170" s="36">
        <v>60.428571428571431</v>
      </c>
      <c r="P170" s="36">
        <v>60.428571428571431</v>
      </c>
      <c r="Q170"/>
      <c r="R170" s="88"/>
      <c r="S170" s="88"/>
      <c r="T170" s="88"/>
      <c r="U170" s="88"/>
      <c r="V170" s="88"/>
      <c r="W170" s="88"/>
    </row>
    <row r="171" spans="1:23" ht="16" x14ac:dyDescent="0.2">
      <c r="A171" s="7">
        <v>2027</v>
      </c>
      <c r="B171" s="36">
        <v>846</v>
      </c>
      <c r="C171" s="91">
        <v>14</v>
      </c>
      <c r="D171" s="91">
        <v>0</v>
      </c>
      <c r="F171" s="37" t="s">
        <v>193</v>
      </c>
      <c r="G171"/>
      <c r="H171"/>
      <c r="I171" s="87"/>
      <c r="J171" s="87"/>
      <c r="K171" s="87"/>
      <c r="L171" s="36">
        <v>0</v>
      </c>
      <c r="M171" s="36">
        <v>0</v>
      </c>
      <c r="N171" s="36">
        <v>60.428571428571431</v>
      </c>
      <c r="O171" s="36">
        <v>60.428571428571431</v>
      </c>
      <c r="P171" s="36">
        <v>60.428571428571431</v>
      </c>
      <c r="Q171"/>
      <c r="R171" s="88"/>
      <c r="S171" s="88"/>
      <c r="T171" s="88"/>
      <c r="U171" s="88"/>
      <c r="V171" s="88"/>
      <c r="W171" s="88"/>
    </row>
    <row r="172" spans="1:23" x14ac:dyDescent="0.2">
      <c r="A172" s="7">
        <v>2028</v>
      </c>
      <c r="B172" s="36">
        <v>846</v>
      </c>
      <c r="C172" s="91">
        <v>14</v>
      </c>
      <c r="D172" s="91">
        <v>0</v>
      </c>
      <c r="F172" s="37" t="s">
        <v>193</v>
      </c>
      <c r="I172" s="87"/>
      <c r="J172" s="87"/>
      <c r="K172" s="87"/>
      <c r="L172" s="36">
        <v>0</v>
      </c>
      <c r="M172" s="36">
        <v>0</v>
      </c>
      <c r="N172" s="36">
        <v>0</v>
      </c>
      <c r="O172" s="36">
        <v>60.428571428571431</v>
      </c>
      <c r="P172" s="36">
        <v>60.428571428571431</v>
      </c>
      <c r="R172" s="87"/>
      <c r="S172" s="87"/>
      <c r="T172" s="87"/>
      <c r="U172" s="87"/>
      <c r="V172" s="87"/>
      <c r="W172" s="87"/>
    </row>
    <row r="173" spans="1:23" x14ac:dyDescent="0.2">
      <c r="A173" s="7">
        <v>2029</v>
      </c>
      <c r="B173" s="36">
        <v>846</v>
      </c>
      <c r="C173" s="91">
        <v>14</v>
      </c>
      <c r="D173" s="91">
        <v>0</v>
      </c>
      <c r="F173" s="37" t="s">
        <v>193</v>
      </c>
      <c r="I173" s="87"/>
      <c r="J173" s="87"/>
      <c r="K173" s="87"/>
      <c r="L173" s="36">
        <v>0</v>
      </c>
      <c r="M173" s="36">
        <v>0</v>
      </c>
      <c r="N173" s="36">
        <v>0</v>
      </c>
      <c r="O173" s="36">
        <v>0</v>
      </c>
      <c r="P173" s="36">
        <v>60.428571428571431</v>
      </c>
      <c r="R173" s="87"/>
      <c r="S173" s="87"/>
      <c r="T173" s="87"/>
      <c r="U173" s="87"/>
      <c r="V173" s="87"/>
      <c r="W173" s="87"/>
    </row>
    <row r="174" spans="1:23" x14ac:dyDescent="0.2">
      <c r="A174" s="92"/>
      <c r="I174" s="87"/>
      <c r="J174" s="87"/>
      <c r="K174" s="87"/>
      <c r="R174" s="87"/>
      <c r="S174" s="87"/>
      <c r="T174" s="87"/>
      <c r="U174" s="87"/>
      <c r="V174" s="87"/>
      <c r="W174" s="87"/>
    </row>
    <row r="175" spans="1:23" ht="16" x14ac:dyDescent="0.2">
      <c r="A175" s="5" t="s">
        <v>155</v>
      </c>
      <c r="B175" s="5"/>
      <c r="C175" s="5"/>
      <c r="D175" s="5"/>
      <c r="E175" s="5"/>
      <c r="F175" s="5"/>
      <c r="G175" s="1"/>
      <c r="H175" s="5"/>
      <c r="I175" s="61">
        <f>SUM(I169:I174)</f>
        <v>0</v>
      </c>
      <c r="J175" s="61">
        <f>SUM(J169:J174)</f>
        <v>0</v>
      </c>
      <c r="K175" s="61">
        <f>SUM(K169:K174)</f>
        <v>0</v>
      </c>
      <c r="L175" s="61">
        <f>SUM(L169:L174)</f>
        <v>60.428571428571431</v>
      </c>
      <c r="M175" s="61">
        <f t="shared" ref="M175:P175" si="106">SUM(M169:M174)</f>
        <v>120.85714285714286</v>
      </c>
      <c r="N175" s="61">
        <f t="shared" si="106"/>
        <v>181.28571428571428</v>
      </c>
      <c r="O175" s="61">
        <f t="shared" si="106"/>
        <v>241.71428571428572</v>
      </c>
      <c r="P175" s="61">
        <f t="shared" si="106"/>
        <v>302.14285714285717</v>
      </c>
      <c r="R175" s="87"/>
      <c r="S175" s="87"/>
      <c r="T175" s="87"/>
      <c r="U175" s="87"/>
      <c r="V175" s="87"/>
      <c r="W175" s="87"/>
    </row>
    <row r="176" spans="1:23" x14ac:dyDescent="0.2">
      <c r="A176" s="3" t="s">
        <v>156</v>
      </c>
      <c r="I176" s="36">
        <f>I30</f>
        <v>717</v>
      </c>
      <c r="J176" s="36">
        <f>J30</f>
        <v>703</v>
      </c>
      <c r="K176" s="36">
        <f>K30</f>
        <v>796</v>
      </c>
      <c r="L176" s="89">
        <f>K176</f>
        <v>796</v>
      </c>
      <c r="M176" s="89">
        <f t="shared" ref="M176:P176" si="107">L176</f>
        <v>796</v>
      </c>
      <c r="N176" s="89">
        <f t="shared" si="107"/>
        <v>796</v>
      </c>
      <c r="O176" s="89">
        <f t="shared" si="107"/>
        <v>796</v>
      </c>
      <c r="P176" s="89">
        <f t="shared" si="107"/>
        <v>796</v>
      </c>
      <c r="R176" s="87"/>
      <c r="S176" s="87"/>
      <c r="T176" s="87"/>
      <c r="U176" s="87"/>
      <c r="V176" s="87"/>
      <c r="W176" s="87"/>
    </row>
    <row r="177" spans="1:26" x14ac:dyDescent="0.2">
      <c r="A177" s="5" t="s">
        <v>157</v>
      </c>
      <c r="B177" s="5"/>
      <c r="C177" s="5"/>
      <c r="D177" s="5"/>
      <c r="E177" s="5"/>
      <c r="F177" s="5"/>
      <c r="G177" s="5"/>
      <c r="H177" s="5"/>
      <c r="I177" s="61">
        <f>SUM(I175:I176)</f>
        <v>717</v>
      </c>
      <c r="J177" s="61">
        <f t="shared" ref="J177:O177" si="108">SUM(J175:J176)</f>
        <v>703</v>
      </c>
      <c r="K177" s="61">
        <f t="shared" si="108"/>
        <v>796</v>
      </c>
      <c r="L177" s="61">
        <f>SUM(L175:L176)</f>
        <v>856.42857142857144</v>
      </c>
      <c r="M177" s="61">
        <f>SUM(M175:M176)</f>
        <v>916.85714285714289</v>
      </c>
      <c r="N177" s="61">
        <f t="shared" si="108"/>
        <v>977.28571428571422</v>
      </c>
      <c r="O177" s="61">
        <f t="shared" si="108"/>
        <v>1037.7142857142858</v>
      </c>
      <c r="P177" s="61">
        <f>SUM(P175:P176)</f>
        <v>1098.1428571428571</v>
      </c>
      <c r="R177" s="87"/>
      <c r="S177" s="87"/>
      <c r="T177" s="87"/>
      <c r="U177" s="87"/>
      <c r="V177" s="87"/>
      <c r="W177" s="87"/>
    </row>
    <row r="178" spans="1:26" x14ac:dyDescent="0.2">
      <c r="A178" s="3" t="s">
        <v>138</v>
      </c>
      <c r="I178" s="80">
        <f t="shared" ref="I178:P178" si="109">I177-I30</f>
        <v>0</v>
      </c>
      <c r="J178" s="80">
        <f t="shared" si="109"/>
        <v>0</v>
      </c>
      <c r="K178" s="80">
        <f t="shared" si="109"/>
        <v>0</v>
      </c>
      <c r="L178" s="80">
        <f t="shared" si="109"/>
        <v>0</v>
      </c>
      <c r="M178" s="80">
        <f t="shared" si="109"/>
        <v>0</v>
      </c>
      <c r="N178" s="80">
        <f t="shared" si="109"/>
        <v>0</v>
      </c>
      <c r="O178" s="80">
        <f t="shared" si="109"/>
        <v>0</v>
      </c>
      <c r="P178" s="80">
        <f t="shared" si="109"/>
        <v>0</v>
      </c>
      <c r="R178" s="87"/>
      <c r="S178" s="87"/>
      <c r="T178" s="87"/>
      <c r="U178" s="87"/>
      <c r="V178" s="87"/>
      <c r="W178" s="87"/>
    </row>
    <row r="179" spans="1:26" x14ac:dyDescent="0.2">
      <c r="R179" s="87"/>
      <c r="S179" s="87"/>
      <c r="T179" s="87"/>
      <c r="U179" s="87"/>
      <c r="V179" s="87"/>
      <c r="W179" s="87"/>
    </row>
    <row r="180" spans="1:26" x14ac:dyDescent="0.2">
      <c r="R180" s="87"/>
      <c r="S180" s="87"/>
      <c r="T180" s="87"/>
      <c r="U180" s="87"/>
      <c r="V180" s="87"/>
      <c r="W180" s="87"/>
    </row>
    <row r="181" spans="1:26" x14ac:dyDescent="0.2">
      <c r="A181" s="93" t="s">
        <v>160</v>
      </c>
      <c r="B181" s="93"/>
      <c r="C181" s="93"/>
      <c r="D181" s="93"/>
      <c r="E181" s="93"/>
      <c r="F181" s="93"/>
      <c r="G181" s="93"/>
      <c r="H181" s="93"/>
      <c r="I181" s="93"/>
      <c r="J181" s="93"/>
      <c r="K181" s="93"/>
      <c r="L181" s="93"/>
      <c r="M181" s="93"/>
      <c r="N181" s="93"/>
      <c r="O181" s="93"/>
      <c r="P181" s="93"/>
      <c r="R181" s="98"/>
      <c r="S181" s="98"/>
      <c r="T181" s="98"/>
      <c r="U181" s="98"/>
      <c r="V181" s="98"/>
      <c r="W181" s="98"/>
    </row>
    <row r="182" spans="1:26" x14ac:dyDescent="0.2">
      <c r="A182" s="93" t="s">
        <v>163</v>
      </c>
      <c r="B182" s="93"/>
      <c r="C182" s="93"/>
      <c r="D182" s="93"/>
      <c r="E182" s="93"/>
      <c r="F182" s="93"/>
      <c r="G182" s="93"/>
      <c r="H182" s="93"/>
      <c r="I182" s="93"/>
      <c r="J182" s="93"/>
      <c r="K182" s="93"/>
      <c r="L182" s="93"/>
      <c r="M182" s="93"/>
      <c r="N182" s="93"/>
      <c r="O182" s="93"/>
      <c r="P182" s="93"/>
      <c r="R182" s="87"/>
      <c r="S182" s="87"/>
      <c r="T182" s="87"/>
      <c r="U182" s="87"/>
      <c r="V182" s="87"/>
      <c r="W182" s="87"/>
    </row>
    <row r="183" spans="1:26" x14ac:dyDescent="0.2">
      <c r="A183" s="3" t="s">
        <v>137</v>
      </c>
      <c r="I183" s="87"/>
      <c r="J183" s="122"/>
      <c r="K183" s="122"/>
      <c r="L183" s="74">
        <f t="shared" ref="L183:P183" si="110">K185</f>
        <v>7903</v>
      </c>
      <c r="M183" s="74">
        <f t="shared" si="110"/>
        <v>6903</v>
      </c>
      <c r="N183" s="74">
        <f t="shared" si="110"/>
        <v>5903</v>
      </c>
      <c r="O183" s="74">
        <f t="shared" si="110"/>
        <v>4903</v>
      </c>
      <c r="P183" s="74">
        <f t="shared" si="110"/>
        <v>4903</v>
      </c>
      <c r="Q183" s="74"/>
      <c r="R183" s="122"/>
      <c r="S183" s="122"/>
      <c r="T183" s="122"/>
      <c r="U183" s="122"/>
      <c r="V183" s="122"/>
      <c r="W183" s="122"/>
    </row>
    <row r="184" spans="1:26" ht="16" x14ac:dyDescent="0.2">
      <c r="A184" s="7" t="s">
        <v>164</v>
      </c>
      <c r="B184"/>
      <c r="F184" s="37"/>
      <c r="I184" s="87"/>
      <c r="J184" s="87"/>
      <c r="K184" s="87"/>
      <c r="L184" s="102">
        <v>-1000</v>
      </c>
      <c r="M184" s="102">
        <v>-1000</v>
      </c>
      <c r="N184" s="102">
        <v>-1000</v>
      </c>
      <c r="O184" s="102">
        <v>0</v>
      </c>
      <c r="P184" s="102">
        <v>0</v>
      </c>
      <c r="R184" s="87"/>
      <c r="S184" s="87"/>
      <c r="T184" s="87"/>
      <c r="U184" s="87"/>
      <c r="V184" s="87"/>
      <c r="W184" s="87"/>
    </row>
    <row r="185" spans="1:26" x14ac:dyDescent="0.2">
      <c r="A185" s="5" t="s">
        <v>136</v>
      </c>
      <c r="B185" s="5"/>
      <c r="C185" s="5"/>
      <c r="D185" s="5"/>
      <c r="E185" s="5"/>
      <c r="F185" s="5"/>
      <c r="G185" s="5"/>
      <c r="H185" s="5"/>
      <c r="I185" s="123"/>
      <c r="J185" s="123"/>
      <c r="K185" s="101">
        <f>K69</f>
        <v>7903</v>
      </c>
      <c r="L185" s="101">
        <f>SUM(L183:L184)</f>
        <v>6903</v>
      </c>
      <c r="M185" s="101">
        <f>SUM(M183:M184)</f>
        <v>5903</v>
      </c>
      <c r="N185" s="101">
        <f>SUM(N183:N184)</f>
        <v>4903</v>
      </c>
      <c r="O185" s="101">
        <f>SUM(O183:O184)</f>
        <v>4903</v>
      </c>
      <c r="P185" s="101">
        <f>SUM(P183:P184)</f>
        <v>4903</v>
      </c>
      <c r="R185" s="87"/>
      <c r="S185" s="87"/>
      <c r="T185" s="87"/>
      <c r="U185" s="87"/>
      <c r="V185" s="87"/>
      <c r="W185" s="87"/>
    </row>
    <row r="186" spans="1:26" x14ac:dyDescent="0.2">
      <c r="A186" s="3" t="s">
        <v>138</v>
      </c>
      <c r="I186" s="122"/>
      <c r="J186" s="122"/>
      <c r="K186" s="80">
        <f t="shared" ref="K186:P186" si="111">K185-K69</f>
        <v>0</v>
      </c>
      <c r="L186" s="80">
        <f t="shared" si="111"/>
        <v>0</v>
      </c>
      <c r="M186" s="80">
        <f t="shared" si="111"/>
        <v>0</v>
      </c>
      <c r="N186" s="80">
        <f t="shared" si="111"/>
        <v>0</v>
      </c>
      <c r="O186" s="80">
        <f t="shared" si="111"/>
        <v>0</v>
      </c>
      <c r="P186" s="80">
        <f t="shared" si="111"/>
        <v>0</v>
      </c>
      <c r="R186" s="87"/>
      <c r="S186" s="87"/>
      <c r="T186" s="87"/>
      <c r="U186" s="87"/>
      <c r="V186" s="87"/>
      <c r="W186" s="87"/>
    </row>
    <row r="187" spans="1:26" x14ac:dyDescent="0.2">
      <c r="I187" s="74"/>
      <c r="J187" s="74"/>
      <c r="K187" s="74"/>
      <c r="L187" s="74"/>
      <c r="M187" s="74"/>
      <c r="N187" s="74"/>
      <c r="O187" s="74"/>
      <c r="P187" s="74"/>
      <c r="R187" s="87"/>
      <c r="S187" s="87"/>
      <c r="T187" s="87"/>
      <c r="U187" s="87"/>
      <c r="V187" s="87"/>
      <c r="W187" s="87"/>
    </row>
    <row r="188" spans="1:26" x14ac:dyDescent="0.2">
      <c r="A188" s="3" t="s">
        <v>161</v>
      </c>
      <c r="B188" s="94">
        <v>0.03</v>
      </c>
      <c r="F188" s="37" t="s">
        <v>162</v>
      </c>
      <c r="L188" s="74">
        <f>L183*$B$188</f>
        <v>237.09</v>
      </c>
      <c r="M188" s="74">
        <f>M183*$B$188</f>
        <v>207.09</v>
      </c>
      <c r="N188" s="74">
        <f>N183*$B$188</f>
        <v>177.09</v>
      </c>
      <c r="O188" s="74">
        <f>O183*$B$188</f>
        <v>147.09</v>
      </c>
      <c r="P188" s="74">
        <f>P183*$B$188</f>
        <v>147.09</v>
      </c>
      <c r="R188" s="87"/>
      <c r="S188" s="87"/>
      <c r="T188" s="87"/>
      <c r="U188" s="87"/>
      <c r="V188" s="87"/>
      <c r="W188" s="87"/>
    </row>
    <row r="189" spans="1:26" x14ac:dyDescent="0.2">
      <c r="R189" s="87"/>
      <c r="S189" s="87"/>
      <c r="T189" s="87"/>
      <c r="U189" s="87"/>
      <c r="V189" s="87"/>
      <c r="W189" s="87"/>
    </row>
    <row r="190" spans="1:26" x14ac:dyDescent="0.2">
      <c r="A190" s="93" t="s">
        <v>169</v>
      </c>
      <c r="B190" s="93"/>
      <c r="C190" s="93"/>
      <c r="D190" s="93"/>
      <c r="E190" s="93"/>
      <c r="F190" s="93"/>
      <c r="G190" s="93"/>
      <c r="H190" s="93"/>
      <c r="I190" s="93"/>
      <c r="J190" s="93"/>
      <c r="K190" s="93"/>
      <c r="L190" s="93"/>
      <c r="M190" s="93"/>
      <c r="N190" s="93"/>
      <c r="O190" s="93"/>
      <c r="P190" s="93"/>
      <c r="R190" s="93"/>
      <c r="S190" s="93"/>
      <c r="T190" s="93"/>
      <c r="U190" s="93"/>
      <c r="V190" s="93"/>
      <c r="W190" s="93"/>
    </row>
    <row r="191" spans="1:26" ht="16" x14ac:dyDescent="0.2">
      <c r="A191" t="s">
        <v>170</v>
      </c>
      <c r="B191"/>
      <c r="C191"/>
      <c r="D191"/>
      <c r="E191"/>
      <c r="F191" s="115" t="s">
        <v>195</v>
      </c>
      <c r="G191"/>
      <c r="H191"/>
      <c r="I191" s="88"/>
      <c r="J191" s="88"/>
      <c r="K191" s="88"/>
      <c r="L191" s="102">
        <v>-1000</v>
      </c>
      <c r="M191" s="102">
        <v>0</v>
      </c>
      <c r="N191" s="102">
        <v>0</v>
      </c>
      <c r="O191" s="102">
        <v>0</v>
      </c>
      <c r="P191" s="102">
        <v>0</v>
      </c>
      <c r="R191" s="87"/>
      <c r="S191" s="122"/>
      <c r="T191" s="122"/>
      <c r="U191" s="122"/>
      <c r="V191" s="122"/>
      <c r="W191" s="122"/>
      <c r="X191" s="74"/>
      <c r="Y191" s="74"/>
      <c r="Z191" s="74"/>
    </row>
    <row r="192" spans="1:26" ht="16" x14ac:dyDescent="0.2">
      <c r="A192" t="s">
        <v>171</v>
      </c>
      <c r="B192"/>
      <c r="C192"/>
      <c r="D192"/>
      <c r="E192"/>
      <c r="F192" s="115" t="s">
        <v>195</v>
      </c>
      <c r="G192"/>
      <c r="H192"/>
      <c r="I192" s="88"/>
      <c r="J192" s="88"/>
      <c r="K192" s="88"/>
      <c r="L192" s="102">
        <v>0</v>
      </c>
      <c r="M192" s="102">
        <v>-1000</v>
      </c>
      <c r="N192" s="102">
        <v>0</v>
      </c>
      <c r="O192" s="102">
        <v>0</v>
      </c>
      <c r="P192" s="102">
        <v>0</v>
      </c>
      <c r="R192" s="87"/>
      <c r="S192" s="122"/>
      <c r="T192" s="122"/>
      <c r="U192" s="122"/>
      <c r="V192" s="122"/>
      <c r="W192" s="122"/>
      <c r="X192" s="74"/>
      <c r="Y192" s="74"/>
      <c r="Z192" s="74"/>
    </row>
    <row r="193" spans="1:23" ht="16" x14ac:dyDescent="0.2">
      <c r="A193" t="s">
        <v>172</v>
      </c>
      <c r="B193"/>
      <c r="C193"/>
      <c r="D193"/>
      <c r="E193"/>
      <c r="F193" s="115" t="s">
        <v>195</v>
      </c>
      <c r="G193"/>
      <c r="H193"/>
      <c r="I193" s="88"/>
      <c r="J193" s="88"/>
      <c r="K193" s="88"/>
      <c r="L193" s="102">
        <v>0</v>
      </c>
      <c r="M193" s="102">
        <v>0</v>
      </c>
      <c r="N193" s="102">
        <v>-1000</v>
      </c>
      <c r="O193" s="102">
        <v>0</v>
      </c>
      <c r="P193" s="102">
        <v>0</v>
      </c>
      <c r="R193" s="87"/>
      <c r="S193" s="87"/>
      <c r="T193" s="87"/>
      <c r="U193" s="87"/>
      <c r="V193" s="87"/>
      <c r="W193" s="87"/>
    </row>
    <row r="194" spans="1:23" ht="16" x14ac:dyDescent="0.2">
      <c r="A194" t="s">
        <v>175</v>
      </c>
      <c r="B194"/>
      <c r="C194"/>
      <c r="D194"/>
      <c r="E194"/>
      <c r="F194" s="115" t="s">
        <v>195</v>
      </c>
      <c r="G194"/>
      <c r="H194"/>
      <c r="I194" s="88"/>
      <c r="J194" s="88"/>
      <c r="K194" s="88"/>
      <c r="L194" s="102">
        <v>0</v>
      </c>
      <c r="M194" s="102">
        <v>0</v>
      </c>
      <c r="N194" s="102">
        <v>0</v>
      </c>
      <c r="O194" s="102">
        <v>0</v>
      </c>
      <c r="P194" s="102">
        <v>0</v>
      </c>
      <c r="R194" s="87"/>
      <c r="S194" s="87"/>
      <c r="T194" s="87"/>
      <c r="U194" s="87"/>
      <c r="V194" s="87"/>
      <c r="W194" s="87"/>
    </row>
    <row r="195" spans="1:23" ht="16" x14ac:dyDescent="0.2">
      <c r="A195" t="s">
        <v>176</v>
      </c>
      <c r="B195"/>
      <c r="C195"/>
      <c r="D195"/>
      <c r="E195"/>
      <c r="F195" s="115" t="s">
        <v>195</v>
      </c>
      <c r="G195"/>
      <c r="H195"/>
      <c r="I195" s="88"/>
      <c r="J195" s="88"/>
      <c r="K195" s="88"/>
      <c r="L195" s="102">
        <v>0</v>
      </c>
      <c r="M195" s="102">
        <v>0</v>
      </c>
      <c r="N195" s="102">
        <v>0</v>
      </c>
      <c r="O195" s="102">
        <v>0</v>
      </c>
      <c r="P195" s="102">
        <v>0</v>
      </c>
      <c r="R195" s="87"/>
      <c r="S195" s="87"/>
      <c r="T195" s="87"/>
      <c r="U195" s="87"/>
      <c r="V195" s="87"/>
      <c r="W195" s="87"/>
    </row>
    <row r="196" spans="1:23" ht="16" x14ac:dyDescent="0.2">
      <c r="A196" s="104" t="s">
        <v>173</v>
      </c>
      <c r="B196" s="103"/>
      <c r="C196" s="103"/>
      <c r="D196" s="103"/>
      <c r="E196" s="103"/>
      <c r="F196" s="113"/>
      <c r="G196" s="103"/>
      <c r="H196" s="103"/>
      <c r="I196" s="121"/>
      <c r="J196" s="121"/>
      <c r="K196" s="121"/>
      <c r="L196" s="61">
        <f>SUM(L191:L195)</f>
        <v>-1000</v>
      </c>
      <c r="M196" s="61">
        <f t="shared" ref="M196:P196" si="112">SUM(M191:M195)</f>
        <v>-1000</v>
      </c>
      <c r="N196" s="61">
        <f t="shared" si="112"/>
        <v>-1000</v>
      </c>
      <c r="O196" s="61">
        <f t="shared" si="112"/>
        <v>0</v>
      </c>
      <c r="P196" s="61">
        <f t="shared" si="112"/>
        <v>0</v>
      </c>
      <c r="R196" s="87"/>
      <c r="S196" s="87"/>
      <c r="T196" s="87"/>
      <c r="U196" s="87"/>
      <c r="V196" s="87"/>
      <c r="W196" s="87"/>
    </row>
    <row r="197" spans="1:23" ht="16" x14ac:dyDescent="0.2">
      <c r="A197" s="104" t="s">
        <v>136</v>
      </c>
      <c r="B197" s="103"/>
      <c r="C197" s="103"/>
      <c r="D197" s="103"/>
      <c r="E197" s="103"/>
      <c r="F197" s="113"/>
      <c r="G197" s="103"/>
      <c r="H197" s="103"/>
      <c r="I197" s="119"/>
      <c r="J197" s="119"/>
      <c r="K197" s="120">
        <f>K185</f>
        <v>7903</v>
      </c>
      <c r="L197" s="61">
        <f>L185</f>
        <v>6903</v>
      </c>
      <c r="M197" s="61">
        <f t="shared" ref="M197:P197" si="113">M185</f>
        <v>5903</v>
      </c>
      <c r="N197" s="61">
        <f t="shared" si="113"/>
        <v>4903</v>
      </c>
      <c r="O197" s="61">
        <f t="shared" si="113"/>
        <v>4903</v>
      </c>
      <c r="P197" s="61">
        <f t="shared" si="113"/>
        <v>4903</v>
      </c>
      <c r="R197" s="87"/>
      <c r="S197" s="87"/>
      <c r="T197" s="87"/>
      <c r="U197" s="87"/>
      <c r="V197" s="87"/>
      <c r="W197" s="87"/>
    </row>
    <row r="198" spans="1:23" x14ac:dyDescent="0.2">
      <c r="A198" s="3" t="s">
        <v>138</v>
      </c>
      <c r="K198" s="80">
        <f>(K183-K196)</f>
        <v>0</v>
      </c>
      <c r="L198" s="80">
        <f>L197-(L183+L196)</f>
        <v>0</v>
      </c>
      <c r="M198" s="80">
        <f>M197-(M183+M196)</f>
        <v>0</v>
      </c>
      <c r="N198" s="80">
        <f>N197-(N183+N196)</f>
        <v>0</v>
      </c>
      <c r="O198" s="80">
        <f>O197-(O183+O196)</f>
        <v>0</v>
      </c>
      <c r="P198" s="80">
        <f>P197-(P183+P196)</f>
        <v>0</v>
      </c>
    </row>
    <row r="199" spans="1:23" x14ac:dyDescent="0.2">
      <c r="L199" s="74"/>
      <c r="M199" s="74"/>
      <c r="N199" s="74"/>
      <c r="O199" s="74"/>
      <c r="P199" s="74"/>
    </row>
    <row r="200" spans="1:23" x14ac:dyDescent="0.2">
      <c r="L200" s="74"/>
      <c r="M200" s="74"/>
      <c r="N200" s="74"/>
      <c r="O200" s="74"/>
      <c r="P200" s="74"/>
    </row>
    <row r="201" spans="1:23" x14ac:dyDescent="0.2">
      <c r="L201" s="74"/>
      <c r="M201" s="74"/>
      <c r="N201" s="74"/>
      <c r="O201" s="74"/>
      <c r="P201" s="74"/>
    </row>
    <row r="206" spans="1:23" x14ac:dyDescent="0.2">
      <c r="M206" s="80"/>
    </row>
  </sheetData>
  <mergeCells count="2">
    <mergeCell ref="A2:G2"/>
    <mergeCell ref="R3:W3"/>
  </mergeCells>
  <phoneticPr fontId="21" type="noConversion"/>
  <conditionalFormatting sqref="I4:P4">
    <cfRule type="cellIs" dxfId="5" priority="6" operator="equal">
      <formula>"$I$5"</formula>
    </cfRule>
  </conditionalFormatting>
  <conditionalFormatting sqref="I4:Q4">
    <cfRule type="containsText" dxfId="4" priority="4" operator="containsText" text="Forecast">
      <formula>NOT(ISERROR(SEARCH("Forecast",I4)))</formula>
    </cfRule>
    <cfRule type="containsText" dxfId="3" priority="5" operator="containsText" text="Actual">
      <formula>NOT(ISERROR(SEARCH("Actual",I4)))</formula>
    </cfRule>
  </conditionalFormatting>
  <conditionalFormatting sqref="R4:U4">
    <cfRule type="cellIs" dxfId="2" priority="2" operator="equal">
      <formula>"Forecast"</formula>
    </cfRule>
    <cfRule type="cellIs" dxfId="1" priority="3" operator="equal">
      <formula>"Actual"</formula>
    </cfRule>
  </conditionalFormatting>
  <conditionalFormatting sqref="V4:W4">
    <cfRule type="containsText" dxfId="0" priority="1" operator="containsText" text="Forecast">
      <formula>NOT(ISERROR(SEARCH("Forecast",V4)))</formula>
    </cfRule>
  </conditionalFormatting>
  <pageMargins left="0.7" right="0.7" top="0.75" bottom="0.75" header="0.3" footer="0.3"/>
  <ignoredErrors>
    <ignoredError sqref="J140:K140 J141:K142" formulaRange="1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B57-E83A-084B-8B70-16B9EDE1A664}">
  <dimension ref="B2:C26"/>
  <sheetViews>
    <sheetView workbookViewId="0">
      <selection activeCell="B4" sqref="B4"/>
    </sheetView>
  </sheetViews>
  <sheetFormatPr baseColWidth="10" defaultRowHeight="16" x14ac:dyDescent="0.2"/>
  <cols>
    <col min="1" max="1" width="2" customWidth="1"/>
    <col min="2" max="2" width="18.6640625" customWidth="1"/>
    <col min="3" max="3" width="54.33203125" customWidth="1"/>
  </cols>
  <sheetData>
    <row r="2" spans="2:3" ht="19" x14ac:dyDescent="0.35">
      <c r="B2" s="44" t="s">
        <v>89</v>
      </c>
      <c r="C2" s="45"/>
    </row>
    <row r="4" spans="2:3" x14ac:dyDescent="0.2">
      <c r="B4" s="46">
        <f>SUM(B6:B13)</f>
        <v>0</v>
      </c>
      <c r="C4" t="s">
        <v>10</v>
      </c>
    </row>
    <row r="6" spans="2:3" x14ac:dyDescent="0.2">
      <c r="B6" s="46">
        <f>SUM(Sheet1!I86:Q86)</f>
        <v>0</v>
      </c>
      <c r="C6" t="s">
        <v>90</v>
      </c>
    </row>
    <row r="7" spans="2:3" x14ac:dyDescent="0.2">
      <c r="B7" s="46">
        <f>SUM(Sheet1!I128:Q128)</f>
        <v>0</v>
      </c>
      <c r="C7" t="s">
        <v>91</v>
      </c>
    </row>
    <row r="8" spans="2:3" x14ac:dyDescent="0.2">
      <c r="B8" s="46">
        <f>SUM(Sheet1!I151:P151)</f>
        <v>0</v>
      </c>
      <c r="C8" t="s">
        <v>92</v>
      </c>
    </row>
    <row r="9" spans="2:3" x14ac:dyDescent="0.2">
      <c r="B9" s="46">
        <f>SUM(Sheet1!I159:P159)</f>
        <v>0</v>
      </c>
      <c r="C9" t="s">
        <v>166</v>
      </c>
    </row>
    <row r="10" spans="2:3" x14ac:dyDescent="0.2">
      <c r="B10" s="46">
        <f>SUM(Sheet1!I165:P165)</f>
        <v>0</v>
      </c>
      <c r="C10" t="s">
        <v>167</v>
      </c>
    </row>
    <row r="11" spans="2:3" x14ac:dyDescent="0.2">
      <c r="B11" s="46">
        <f>SUM(Sheet1!I178:P178)</f>
        <v>0</v>
      </c>
      <c r="C11" t="s">
        <v>168</v>
      </c>
    </row>
    <row r="12" spans="2:3" x14ac:dyDescent="0.2">
      <c r="B12" s="46">
        <f>SUM(Sheet1!K186:P186)</f>
        <v>0</v>
      </c>
      <c r="C12" t="s">
        <v>177</v>
      </c>
    </row>
    <row r="13" spans="2:3" x14ac:dyDescent="0.2">
      <c r="B13" s="46">
        <f>SUM(Sheet1!K198:P198)</f>
        <v>0</v>
      </c>
      <c r="C13" t="s">
        <v>178</v>
      </c>
    </row>
    <row r="14" spans="2:3" x14ac:dyDescent="0.2">
      <c r="B14" s="99"/>
    </row>
    <row r="15" spans="2:3" x14ac:dyDescent="0.2">
      <c r="B15" s="1"/>
      <c r="C15" s="1" t="s">
        <v>93</v>
      </c>
    </row>
    <row r="17" spans="2:3" ht="19" x14ac:dyDescent="0.35">
      <c r="B17" s="44" t="s">
        <v>94</v>
      </c>
      <c r="C17" s="44"/>
    </row>
    <row r="18" spans="2:3" ht="19" x14ac:dyDescent="0.35">
      <c r="B18" s="44" t="s">
        <v>95</v>
      </c>
      <c r="C18" s="44" t="s">
        <v>96</v>
      </c>
    </row>
    <row r="19" spans="2:3" x14ac:dyDescent="0.2">
      <c r="B19" s="47">
        <v>1000</v>
      </c>
      <c r="C19" t="s">
        <v>97</v>
      </c>
    </row>
    <row r="20" spans="2:3" x14ac:dyDescent="0.2">
      <c r="B20" s="48">
        <v>1000</v>
      </c>
      <c r="C20" t="s">
        <v>98</v>
      </c>
    </row>
    <row r="21" spans="2:3" x14ac:dyDescent="0.2">
      <c r="B21" s="2"/>
      <c r="C21" t="s">
        <v>99</v>
      </c>
    </row>
    <row r="22" spans="2:3" x14ac:dyDescent="0.2">
      <c r="B22" s="49">
        <v>1000</v>
      </c>
      <c r="C22" t="s">
        <v>100</v>
      </c>
    </row>
    <row r="23" spans="2:3" x14ac:dyDescent="0.2">
      <c r="B23" s="50"/>
      <c r="C23" t="s">
        <v>101</v>
      </c>
    </row>
    <row r="24" spans="2:3" x14ac:dyDescent="0.2">
      <c r="B24" s="51">
        <v>1000</v>
      </c>
      <c r="C24" t="s">
        <v>102</v>
      </c>
    </row>
    <row r="25" spans="2:3" x14ac:dyDescent="0.2">
      <c r="B25" s="52">
        <v>1000</v>
      </c>
      <c r="C25" t="s">
        <v>103</v>
      </c>
    </row>
    <row r="26" spans="2:3" x14ac:dyDescent="0.2">
      <c r="B26" s="53">
        <v>1000</v>
      </c>
      <c r="C26" t="s">
        <v>104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Control Panel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Hayat Shemsedin</dc:creator>
  <cp:lastModifiedBy>Hayat Shemsedin</cp:lastModifiedBy>
  <dcterms:created xsi:type="dcterms:W3CDTF">2026-02-27T22:24:17Z</dcterms:created>
  <dcterms:modified xsi:type="dcterms:W3CDTF">2026-03-04T14:09:18Z</dcterms:modified>
</cp:coreProperties>
</file>