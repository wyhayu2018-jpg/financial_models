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/Desktop/Resume/"/>
    </mc:Choice>
  </mc:AlternateContent>
  <xr:revisionPtr revIDLastSave="0" documentId="13_ncr:1_{061C056A-B51F-6E49-AFCE-82BF3F2A1CE5}" xr6:coauthVersionLast="47" xr6:coauthVersionMax="47" xr10:uidLastSave="{00000000-0000-0000-0000-000000000000}"/>
  <bookViews>
    <workbookView xWindow="0" yWindow="500" windowWidth="15420" windowHeight="16440" activeTab="1" xr2:uid="{608A0F95-C411-4E87-BE42-51159C3A09C7}"/>
  </bookViews>
  <sheets>
    <sheet name="__FDSCACHE__" sheetId="6" state="veryHidden" r:id="rId1"/>
    <sheet name="DCF" sheetId="5" r:id="rId2"/>
    <sheet name="WACC" sheetId="7" r:id="rId3"/>
  </sheets>
  <definedNames>
    <definedName name="tgr" localSheetId="2">WACC!#REF!</definedName>
    <definedName name="tgr">DCF!$D$10</definedName>
    <definedName name="wacc" localSheetId="2">WACC!#REF!</definedName>
    <definedName name="wacc">DCF!$D$9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D15" i="7"/>
  <c r="J42" i="5"/>
  <c r="J16" i="5"/>
  <c r="J19" i="5" s="1"/>
  <c r="K19" i="5" s="1"/>
  <c r="L19" i="5" s="1"/>
  <c r="M19" i="5" s="1"/>
  <c r="N19" i="5" s="1"/>
  <c r="D20" i="7"/>
  <c r="D9" i="7" s="1"/>
  <c r="K48" i="5"/>
  <c r="L48" i="5"/>
  <c r="M48" i="5"/>
  <c r="N48" i="5"/>
  <c r="J48" i="5"/>
  <c r="J45" i="5"/>
  <c r="K47" i="5"/>
  <c r="L47" i="5"/>
  <c r="M47" i="5"/>
  <c r="N47" i="5"/>
  <c r="J47" i="5"/>
  <c r="K44" i="5"/>
  <c r="K45" i="5" s="1"/>
  <c r="L44" i="5"/>
  <c r="L45" i="5" s="1"/>
  <c r="J44" i="5"/>
  <c r="K13" i="5"/>
  <c r="L13" i="5" s="1"/>
  <c r="M13" i="5" s="1"/>
  <c r="N13" i="5" s="1"/>
  <c r="N16" i="5" s="1"/>
  <c r="J13" i="5"/>
  <c r="M23" i="5"/>
  <c r="M44" i="5" s="1"/>
  <c r="M45" i="5" s="1"/>
  <c r="F40" i="5"/>
  <c r="G40" i="5"/>
  <c r="H40" i="5"/>
  <c r="I40" i="5"/>
  <c r="E40" i="5"/>
  <c r="F39" i="5"/>
  <c r="G39" i="5"/>
  <c r="H39" i="5"/>
  <c r="I39" i="5"/>
  <c r="E39" i="5"/>
  <c r="F37" i="5"/>
  <c r="G37" i="5"/>
  <c r="H37" i="5"/>
  <c r="I37" i="5"/>
  <c r="E37" i="5"/>
  <c r="F36" i="5"/>
  <c r="G36" i="5"/>
  <c r="H36" i="5"/>
  <c r="I36" i="5"/>
  <c r="E36" i="5"/>
  <c r="K33" i="5"/>
  <c r="L33" i="5" s="1"/>
  <c r="M33" i="5" s="1"/>
  <c r="N33" i="5" s="1"/>
  <c r="J33" i="5"/>
  <c r="K34" i="5"/>
  <c r="L34" i="5"/>
  <c r="M34" i="5"/>
  <c r="N34" i="5"/>
  <c r="J34" i="5"/>
  <c r="G34" i="5"/>
  <c r="H34" i="5"/>
  <c r="I34" i="5"/>
  <c r="F34" i="5"/>
  <c r="F33" i="5"/>
  <c r="G33" i="5"/>
  <c r="H33" i="5"/>
  <c r="I33" i="5"/>
  <c r="E33" i="5"/>
  <c r="H30" i="5"/>
  <c r="I30" i="5"/>
  <c r="E30" i="5"/>
  <c r="G29" i="5"/>
  <c r="G30" i="5" s="1"/>
  <c r="F29" i="5"/>
  <c r="F30" i="5" s="1"/>
  <c r="F27" i="5"/>
  <c r="G27" i="5"/>
  <c r="H27" i="5"/>
  <c r="I27" i="5"/>
  <c r="E27" i="5"/>
  <c r="F24" i="5"/>
  <c r="G24" i="5"/>
  <c r="H24" i="5"/>
  <c r="I24" i="5"/>
  <c r="E24" i="5"/>
  <c r="G17" i="5"/>
  <c r="H17" i="5"/>
  <c r="I17" i="5"/>
  <c r="F17" i="5"/>
  <c r="I14" i="5"/>
  <c r="H14" i="5"/>
  <c r="G14" i="5"/>
  <c r="F14" i="5"/>
  <c r="M16" i="5" l="1"/>
  <c r="K16" i="5"/>
  <c r="L16" i="5"/>
  <c r="K51" i="5"/>
  <c r="K50" i="5" s="1"/>
  <c r="K53" i="5" s="1"/>
  <c r="K54" i="5" s="1"/>
  <c r="J51" i="5"/>
  <c r="J50" i="5" s="1"/>
  <c r="J53" i="5" s="1"/>
  <c r="J54" i="5" s="1"/>
  <c r="L51" i="5"/>
  <c r="L50" i="5" s="1"/>
  <c r="L53" i="5" s="1"/>
  <c r="M51" i="5"/>
  <c r="M50" i="5" s="1"/>
  <c r="N51" i="5"/>
  <c r="N50" i="5" s="1"/>
  <c r="N23" i="5"/>
  <c r="N44" i="5" s="1"/>
  <c r="N45" i="5" s="1"/>
  <c r="D14" i="7"/>
  <c r="D22" i="7" s="1"/>
  <c r="E17" i="5" l="1"/>
  <c r="F20" i="5" l="1"/>
  <c r="F22" i="5"/>
  <c r="F32" i="5" s="1"/>
  <c r="E20" i="5"/>
  <c r="E32" i="5"/>
  <c r="G20" i="5"/>
  <c r="H20" i="5"/>
  <c r="G22" i="5" l="1"/>
  <c r="H22" i="5" s="1"/>
  <c r="H32" i="5" s="1"/>
  <c r="M37" i="5"/>
  <c r="M36" i="5" s="1"/>
  <c r="K37" i="5"/>
  <c r="K36" i="5" s="1"/>
  <c r="J37" i="5"/>
  <c r="J36" i="5" s="1"/>
  <c r="N37" i="5"/>
  <c r="N36" i="5" s="1"/>
  <c r="L40" i="5"/>
  <c r="L37" i="5"/>
  <c r="L36" i="5" s="1"/>
  <c r="I20" i="5"/>
  <c r="M40" i="5"/>
  <c r="J40" i="5"/>
  <c r="N40" i="5"/>
  <c r="K40" i="5"/>
  <c r="K11" i="5"/>
  <c r="L11" i="5" s="1"/>
  <c r="M11" i="5" s="1"/>
  <c r="N11" i="5" s="1"/>
  <c r="L39" i="5" l="1"/>
  <c r="L42" i="5" s="1"/>
  <c r="L54" i="5" s="1"/>
  <c r="J39" i="5"/>
  <c r="K39" i="5"/>
  <c r="K42" i="5" s="1"/>
  <c r="M39" i="5"/>
  <c r="M42" i="5" s="1"/>
  <c r="M53" i="5" s="1"/>
  <c r="M54" i="5" s="1"/>
  <c r="N39" i="5"/>
  <c r="N42" i="5" s="1"/>
  <c r="N53" i="5" s="1"/>
  <c r="N54" i="5" s="1"/>
  <c r="G32" i="5"/>
  <c r="K12" i="5"/>
  <c r="L12" i="5" s="1"/>
  <c r="M12" i="5" s="1"/>
  <c r="N12" i="5" s="1"/>
  <c r="I22" i="5"/>
  <c r="J22" i="5" s="1"/>
  <c r="N56" i="5" l="1"/>
  <c r="N57" i="5" s="1"/>
  <c r="K22" i="5"/>
  <c r="K32" i="5" s="1"/>
  <c r="I32" i="5"/>
  <c r="J32" i="5"/>
  <c r="N58" i="5" l="1"/>
  <c r="N61" i="5" s="1"/>
  <c r="N63" i="5" s="1"/>
  <c r="G4" i="5" s="1"/>
  <c r="K5" i="5" s="1"/>
  <c r="L22" i="5"/>
  <c r="M22" i="5" l="1"/>
  <c r="L32" i="5"/>
  <c r="N22" i="5" l="1"/>
  <c r="M32" i="5"/>
  <c r="N3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E22C32CA-E3DE-43EC-839B-B4EA5E988576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Timestamp="1658683423"&gt;&lt;FQL&gt;&lt;Q&gt;AMZN^FE_ESTIMATE(DEP_AMORT_EXP,MEAN,ANN_ROLL,2022,NOW,,,'')&lt;/Q&gt;&lt;R&gt;1&lt;/R&gt;&lt;C&gt;1&lt;/C&gt;&lt;D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<sst xmlns="http://schemas.openxmlformats.org/spreadsheetml/2006/main" count="76" uniqueCount="50">
  <si>
    <t>Ticker</t>
  </si>
  <si>
    <t>Date</t>
  </si>
  <si>
    <t>x</t>
  </si>
  <si>
    <t>Assumptions</t>
  </si>
  <si>
    <t>Income Statement</t>
  </si>
  <si>
    <t>Cash Flow Items</t>
  </si>
  <si>
    <t>DCF</t>
  </si>
  <si>
    <t>Revenue</t>
  </si>
  <si>
    <t>% growth</t>
  </si>
  <si>
    <t>EBIT</t>
  </si>
  <si>
    <t>% of sales</t>
  </si>
  <si>
    <t>Taxes</t>
  </si>
  <si>
    <t>% of EBIT</t>
  </si>
  <si>
    <t>D&amp;A</t>
  </si>
  <si>
    <t>CapEx</t>
  </si>
  <si>
    <t>Change in NWC</t>
  </si>
  <si>
    <t>% margin</t>
  </si>
  <si>
    <t>EBIAT</t>
  </si>
  <si>
    <t>Unlevered FCF</t>
  </si>
  <si>
    <t>Present Value of FCF</t>
  </si>
  <si>
    <t>WACC</t>
  </si>
  <si>
    <t>TGR</t>
  </si>
  <si>
    <t>Valuation Assumptions</t>
  </si>
  <si>
    <t>This sheet contains FactSet XML data for use with this workbook's =FDS codes.  Modifying the worksheet's contents may damage the workbook's =FDS functionality.</t>
  </si>
  <si>
    <t>Enterprise Value</t>
  </si>
  <si>
    <t>+ Cash</t>
  </si>
  <si>
    <t>- Debt</t>
  </si>
  <si>
    <t>Equity Value</t>
  </si>
  <si>
    <t>Shares</t>
  </si>
  <si>
    <t>Share Price</t>
  </si>
  <si>
    <t>Implied Share Price</t>
  </si>
  <si>
    <t>Terminal Value</t>
  </si>
  <si>
    <t>Present Value of Terminal Value</t>
  </si>
  <si>
    <t>Today's Share Price</t>
  </si>
  <si>
    <t>Debt</t>
  </si>
  <si>
    <t>% Debt</t>
  </si>
  <si>
    <t>Cost of Debt</t>
  </si>
  <si>
    <t>Tax Rate</t>
  </si>
  <si>
    <t>% Equity</t>
  </si>
  <si>
    <t>Cost of Equity</t>
  </si>
  <si>
    <t>Risk Free Rate</t>
  </si>
  <si>
    <t>Beta</t>
  </si>
  <si>
    <t>Market Risk Premium</t>
  </si>
  <si>
    <t>Debt + Equity</t>
  </si>
  <si>
    <t>WACC =  (% Equity x Cost of Equity) + (% Debt x Cost of Debt x (1 -Tax rate))</t>
  </si>
  <si>
    <t>Cost of Equity = Risk Free Rate + (Beta x (Expected Market Return - Risk Free Rate))</t>
  </si>
  <si>
    <t>Upside (Downside)</t>
  </si>
  <si>
    <t>SBUX</t>
  </si>
  <si>
    <t>assumed the market risk premium</t>
  </si>
  <si>
    <t>Starbucks DCF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</si>
</sst>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5" formatCode="0.0%"/>
    <numFmt numFmtId="166" formatCode="0.0%;\(0.0%\)"/>
    <numFmt numFmtId="167" formatCode="_([$$-409]* #,##0.00_);_([$$-409]* \(#,##0.00\);_([$$-409]* &quot;-&quot;??_);_(@_)"/>
    <numFmt numFmtId="168" formatCode="0%;\(0%\)"/>
    <numFmt numFmtId="169" formatCode="&quot;$&quot;#,##0.00"/>
    <numFmt numFmtId="170" formatCode="&quot;$&quot;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0" fontId="0" fillId="0" borderId="1" xfId="0" applyBorder="1"/>
    <xf numFmtId="0" fontId="5" fillId="0" borderId="1" xfId="0" applyFont="1" applyBorder="1"/>
    <xf numFmtId="0" fontId="0" fillId="3" borderId="0" xfId="0" applyFill="1"/>
    <xf numFmtId="0" fontId="2" fillId="3" borderId="0" xfId="0" applyFont="1" applyFill="1"/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6" fillId="4" borderId="0" xfId="0" applyFont="1" applyFill="1"/>
    <xf numFmtId="0" fontId="7" fillId="4" borderId="0" xfId="0" applyFont="1" applyFill="1"/>
    <xf numFmtId="3" fontId="6" fillId="4" borderId="0" xfId="0" applyNumberFormat="1" applyFont="1" applyFill="1"/>
    <xf numFmtId="165" fontId="8" fillId="4" borderId="0" xfId="1" applyNumberFormat="1" applyFont="1" applyFill="1"/>
    <xf numFmtId="0" fontId="8" fillId="4" borderId="0" xfId="0" applyFont="1" applyFill="1"/>
    <xf numFmtId="0" fontId="9" fillId="0" borderId="0" xfId="0" applyFont="1"/>
    <xf numFmtId="3" fontId="0" fillId="0" borderId="0" xfId="0" applyNumberFormat="1"/>
    <xf numFmtId="3" fontId="10" fillId="4" borderId="0" xfId="0" applyNumberFormat="1" applyFont="1" applyFill="1"/>
    <xf numFmtId="3" fontId="11" fillId="0" borderId="0" xfId="0" applyNumberFormat="1" applyFont="1"/>
    <xf numFmtId="165" fontId="8" fillId="4" borderId="0" xfId="1" applyNumberFormat="1" applyFont="1" applyFill="1" applyBorder="1"/>
    <xf numFmtId="9" fontId="0" fillId="0" borderId="0" xfId="1" applyFont="1"/>
    <xf numFmtId="37" fontId="10" fillId="4" borderId="0" xfId="0" applyNumberFormat="1" applyFont="1" applyFill="1"/>
    <xf numFmtId="0" fontId="3" fillId="0" borderId="0" xfId="0" applyFont="1"/>
    <xf numFmtId="165" fontId="0" fillId="2" borderId="3" xfId="0" applyNumberFormat="1" applyFill="1" applyBorder="1" applyAlignment="1">
      <alignment horizontal="center"/>
    </xf>
    <xf numFmtId="3" fontId="6" fillId="0" borderId="0" xfId="0" applyNumberFormat="1" applyFont="1"/>
    <xf numFmtId="165" fontId="9" fillId="0" borderId="0" xfId="1" applyNumberFormat="1" applyFont="1"/>
    <xf numFmtId="165" fontId="9" fillId="0" borderId="0" xfId="1" applyNumberFormat="1" applyFont="1" applyFill="1" applyBorder="1"/>
    <xf numFmtId="165" fontId="6" fillId="4" borderId="0" xfId="1" applyNumberFormat="1" applyFont="1" applyFill="1"/>
    <xf numFmtId="6" fontId="6" fillId="4" borderId="0" xfId="0" applyNumberFormat="1" applyFont="1" applyFill="1"/>
    <xf numFmtId="165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3" fontId="13" fillId="4" borderId="0" xfId="0" applyNumberFormat="1" applyFont="1" applyFill="1"/>
    <xf numFmtId="37" fontId="11" fillId="0" borderId="0" xfId="0" applyNumberFormat="1" applyFont="1"/>
    <xf numFmtId="37" fontId="6" fillId="0" borderId="0" xfId="0" applyNumberFormat="1" applyFont="1"/>
    <xf numFmtId="14" fontId="0" fillId="0" borderId="0" xfId="0" applyNumberFormat="1"/>
    <xf numFmtId="0" fontId="0" fillId="0" borderId="0" xfId="0" quotePrefix="1"/>
    <xf numFmtId="167" fontId="0" fillId="0" borderId="0" xfId="0" applyNumberFormat="1"/>
    <xf numFmtId="168" fontId="0" fillId="0" borderId="0" xfId="1" applyNumberFormat="1" applyFont="1"/>
    <xf numFmtId="165" fontId="12" fillId="0" borderId="0" xfId="1" applyNumberFormat="1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0" fontId="2" fillId="3" borderId="8" xfId="0" applyFont="1" applyFill="1" applyBorder="1"/>
    <xf numFmtId="3" fontId="10" fillId="4" borderId="8" xfId="0" applyNumberFormat="1" applyFont="1" applyFill="1" applyBorder="1"/>
    <xf numFmtId="165" fontId="8" fillId="4" borderId="8" xfId="1" applyNumberFormat="1" applyFont="1" applyFill="1" applyBorder="1"/>
    <xf numFmtId="0" fontId="6" fillId="4" borderId="8" xfId="0" applyFont="1" applyFill="1" applyBorder="1"/>
    <xf numFmtId="3" fontId="6" fillId="4" borderId="8" xfId="0" applyNumberFormat="1" applyFont="1" applyFill="1" applyBorder="1"/>
    <xf numFmtId="37" fontId="10" fillId="4" borderId="8" xfId="0" applyNumberFormat="1" applyFont="1" applyFill="1" applyBorder="1"/>
    <xf numFmtId="0" fontId="0" fillId="0" borderId="8" xfId="0" applyBorder="1"/>
    <xf numFmtId="3" fontId="11" fillId="0" borderId="8" xfId="0" applyNumberFormat="1" applyFont="1" applyBorder="1"/>
    <xf numFmtId="165" fontId="9" fillId="0" borderId="8" xfId="1" applyNumberFormat="1" applyFont="1" applyBorder="1"/>
    <xf numFmtId="37" fontId="11" fillId="0" borderId="8" xfId="0" applyNumberFormat="1" applyFont="1" applyBorder="1"/>
    <xf numFmtId="166" fontId="9" fillId="0" borderId="8" xfId="1" applyNumberFormat="1" applyFont="1" applyBorder="1"/>
    <xf numFmtId="0" fontId="0" fillId="0" borderId="7" xfId="0" applyBorder="1"/>
    <xf numFmtId="37" fontId="6" fillId="0" borderId="1" xfId="0" applyNumberFormat="1" applyFont="1" applyBorder="1"/>
    <xf numFmtId="0" fontId="0" fillId="0" borderId="1" xfId="0" quotePrefix="1" applyBorder="1"/>
    <xf numFmtId="167" fontId="3" fillId="0" borderId="0" xfId="0" applyNumberFormat="1" applyFont="1"/>
    <xf numFmtId="37" fontId="7" fillId="0" borderId="0" xfId="0" applyNumberFormat="1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37" fontId="3" fillId="0" borderId="5" xfId="0" applyNumberFormat="1" applyFont="1" applyBorder="1"/>
    <xf numFmtId="3" fontId="3" fillId="0" borderId="5" xfId="0" applyNumberFormat="1" applyFont="1" applyBorder="1"/>
    <xf numFmtId="165" fontId="0" fillId="2" borderId="3" xfId="0" applyNumberFormat="1" applyFill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3" xfId="0" applyFill="1" applyBorder="1" applyAlignment="1">
      <alignment horizontal="right"/>
    </xf>
    <xf numFmtId="0" fontId="3" fillId="5" borderId="4" xfId="0" applyFont="1" applyFill="1" applyBorder="1"/>
    <xf numFmtId="0" fontId="0" fillId="5" borderId="5" xfId="0" applyFill="1" applyBorder="1"/>
    <xf numFmtId="10" fontId="3" fillId="5" borderId="6" xfId="0" applyNumberFormat="1" applyFont="1" applyFill="1" applyBorder="1"/>
    <xf numFmtId="169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70" fontId="0" fillId="0" borderId="3" xfId="0" applyNumberFormat="1" applyBorder="1" applyAlignment="1">
      <alignment horizontal="right"/>
    </xf>
    <xf numFmtId="170" fontId="0" fillId="0" borderId="9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37" fontId="0" fillId="0" borderId="0" xfId="0" applyNumberFormat="1"/>
  </cellXfs>
  <cellStyles count="3">
    <cellStyle name="Normal" xfId="0" builtinId="0"/>
    <cellStyle name="Normal 2" xfId="2" xr:uid="{A2D1003C-8034-459A-B554-420F0A7D1C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1782-985A-4F6E-8405-30EA8D9C5EDB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B1" t="s">
        <v>23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4BFC-A7CD-4D1E-875D-83F0626367C5}">
  <sheetPr>
    <pageSetUpPr fitToPage="1"/>
  </sheetPr>
  <dimension ref="A2:AD63"/>
  <sheetViews>
    <sheetView showGridLines="0" tabSelected="1" topLeftCell="E1" zoomScale="130" zoomScaleNormal="130" workbookViewId="0">
      <selection activeCell="D49" sqref="D49"/>
    </sheetView>
  </sheetViews>
  <sheetFormatPr baseColWidth="10" defaultColWidth="9.6640625" defaultRowHeight="15" outlineLevelRow="1" outlineLevelCol="1" x14ac:dyDescent="0.2"/>
  <cols>
    <col min="1" max="1" width="3.6640625" customWidth="1"/>
    <col min="5" max="8" width="9.6640625" customWidth="1" outlineLevel="1"/>
    <col min="9" max="9" width="10" customWidth="1" outlineLevel="1"/>
    <col min="10" max="10" width="9.6640625" customWidth="1" outlineLevel="1"/>
    <col min="11" max="18" width="9.6640625" customWidth="1"/>
    <col min="22" max="26" width="10.5" bestFit="1" customWidth="1"/>
    <col min="27" max="27" width="12" bestFit="1" customWidth="1"/>
    <col min="30" max="30" width="10.33203125" bestFit="1" customWidth="1"/>
  </cols>
  <sheetData>
    <row r="2" spans="1:18" s="1" customFormat="1" ht="21" x14ac:dyDescent="0.25">
      <c r="B2" s="2" t="s">
        <v>49</v>
      </c>
    </row>
    <row r="4" spans="1:18" x14ac:dyDescent="0.2">
      <c r="A4" t="s">
        <v>2</v>
      </c>
      <c r="B4" t="s">
        <v>0</v>
      </c>
      <c r="C4" s="5" t="s">
        <v>47</v>
      </c>
      <c r="E4" t="s">
        <v>30</v>
      </c>
      <c r="G4" s="66">
        <f>N63</f>
        <v>84.930697654264776</v>
      </c>
      <c r="M4" s="34"/>
      <c r="R4" s="35"/>
    </row>
    <row r="5" spans="1:18" x14ac:dyDescent="0.2">
      <c r="B5" t="s">
        <v>1</v>
      </c>
      <c r="C5" s="6">
        <v>45981</v>
      </c>
      <c r="E5" t="s">
        <v>33</v>
      </c>
      <c r="G5" s="66">
        <v>85.12</v>
      </c>
      <c r="I5" t="s">
        <v>46</v>
      </c>
      <c r="K5" s="67">
        <f>G4/G5-1</f>
        <v>-2.2239467309119743E-3</v>
      </c>
      <c r="M5" s="34"/>
    </row>
    <row r="7" spans="1:18" x14ac:dyDescent="0.2">
      <c r="A7" t="s">
        <v>2</v>
      </c>
      <c r="B7" s="4" t="s">
        <v>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8" x14ac:dyDescent="0.2">
      <c r="B8" s="19" t="s">
        <v>22</v>
      </c>
    </row>
    <row r="9" spans="1:18" x14ac:dyDescent="0.2">
      <c r="B9" t="s">
        <v>20</v>
      </c>
      <c r="D9" s="20">
        <f>WACC!D22</f>
        <v>8.1890079123415949E-2</v>
      </c>
    </row>
    <row r="10" spans="1:18" x14ac:dyDescent="0.2">
      <c r="B10" t="s">
        <v>21</v>
      </c>
      <c r="D10" s="20">
        <v>2.5000000000000001E-2</v>
      </c>
    </row>
    <row r="11" spans="1:18" outlineLevel="1" x14ac:dyDescent="0.2">
      <c r="J11">
        <v>1</v>
      </c>
      <c r="K11">
        <f>J11+1</f>
        <v>2</v>
      </c>
      <c r="L11">
        <f t="shared" ref="L11:N11" si="0">K11+1</f>
        <v>3</v>
      </c>
      <c r="M11">
        <f t="shared" si="0"/>
        <v>4</v>
      </c>
      <c r="N11">
        <f t="shared" si="0"/>
        <v>5</v>
      </c>
    </row>
    <row r="12" spans="1:18" outlineLevel="1" x14ac:dyDescent="0.2">
      <c r="A12" t="s">
        <v>2</v>
      </c>
      <c r="B12" s="4" t="s">
        <v>4</v>
      </c>
      <c r="C12" s="3"/>
      <c r="D12" s="3"/>
      <c r="E12" s="4">
        <v>2021</v>
      </c>
      <c r="F12" s="4">
        <v>2022</v>
      </c>
      <c r="G12" s="4">
        <v>2023</v>
      </c>
      <c r="H12" s="4">
        <v>2024</v>
      </c>
      <c r="I12" s="39">
        <v>2025</v>
      </c>
      <c r="J12" s="4">
        <v>2026</v>
      </c>
      <c r="K12" s="4">
        <f>J12+1</f>
        <v>2027</v>
      </c>
      <c r="L12" s="4">
        <f>K12+1</f>
        <v>2028</v>
      </c>
      <c r="M12" s="4">
        <f>L12+1</f>
        <v>2029</v>
      </c>
      <c r="N12" s="4">
        <f>M12+1</f>
        <v>2030</v>
      </c>
    </row>
    <row r="13" spans="1:18" s="7" customFormat="1" outlineLevel="1" x14ac:dyDescent="0.2">
      <c r="B13" s="7" t="s">
        <v>7</v>
      </c>
      <c r="E13" s="14">
        <v>29061</v>
      </c>
      <c r="F13" s="14">
        <v>32250</v>
      </c>
      <c r="G13" s="14">
        <v>35976</v>
      </c>
      <c r="H13" s="14">
        <v>36176</v>
      </c>
      <c r="I13" s="40">
        <v>37184</v>
      </c>
      <c r="J13" s="14">
        <f>I13*(J14+1)</f>
        <v>39043.200000000004</v>
      </c>
      <c r="K13" s="14">
        <f t="shared" ref="K13:N13" si="1">J13*(K14+1)</f>
        <v>40800.144</v>
      </c>
      <c r="L13" s="14">
        <f t="shared" si="1"/>
        <v>42432.14976</v>
      </c>
      <c r="M13" s="14">
        <f t="shared" si="1"/>
        <v>43917.275001599999</v>
      </c>
      <c r="N13" s="14">
        <f t="shared" si="1"/>
        <v>45234.793251648</v>
      </c>
    </row>
    <row r="14" spans="1:18" s="7" customFormat="1" outlineLevel="1" x14ac:dyDescent="0.2">
      <c r="B14" s="11" t="s">
        <v>8</v>
      </c>
      <c r="E14" s="10"/>
      <c r="F14" s="10">
        <f>F13/E13-1</f>
        <v>0.10973469598430885</v>
      </c>
      <c r="G14" s="10">
        <f t="shared" ref="G14:I14" si="2">G13/F13-1</f>
        <v>0.11553488372093024</v>
      </c>
      <c r="H14" s="10">
        <f t="shared" si="2"/>
        <v>5.5592617300421754E-3</v>
      </c>
      <c r="I14" s="41">
        <f t="shared" si="2"/>
        <v>2.7863777089783381E-2</v>
      </c>
      <c r="J14" s="16">
        <v>0.05</v>
      </c>
      <c r="K14" s="10">
        <v>4.4999999999999998E-2</v>
      </c>
      <c r="L14" s="10">
        <v>0.04</v>
      </c>
      <c r="M14" s="10">
        <v>3.5000000000000003E-2</v>
      </c>
      <c r="N14" s="10">
        <v>0.03</v>
      </c>
    </row>
    <row r="15" spans="1:18" s="7" customFormat="1" outlineLevel="1" x14ac:dyDescent="0.2">
      <c r="B15" s="8"/>
      <c r="I15" s="42"/>
    </row>
    <row r="16" spans="1:18" s="7" customFormat="1" outlineLevel="1" x14ac:dyDescent="0.2">
      <c r="B16" s="7" t="s">
        <v>9</v>
      </c>
      <c r="E16" s="14">
        <v>4872</v>
      </c>
      <c r="F16" s="14">
        <v>4618</v>
      </c>
      <c r="G16" s="14">
        <v>5871</v>
      </c>
      <c r="H16" s="14">
        <v>5409</v>
      </c>
      <c r="I16" s="40">
        <v>2937</v>
      </c>
      <c r="J16" s="14">
        <f>J17*J13</f>
        <v>5466.0480000000007</v>
      </c>
      <c r="K16" s="14">
        <f t="shared" ref="K16:N16" si="3">K17*K13</f>
        <v>5712.0201600000009</v>
      </c>
      <c r="L16" s="14">
        <f t="shared" si="3"/>
        <v>5940.5009664000008</v>
      </c>
      <c r="M16" s="14">
        <f t="shared" si="3"/>
        <v>6148.4185002240001</v>
      </c>
      <c r="N16" s="14">
        <f t="shared" si="3"/>
        <v>6332.8710552307202</v>
      </c>
    </row>
    <row r="17" spans="1:14" s="7" customFormat="1" outlineLevel="1" x14ac:dyDescent="0.2">
      <c r="B17" s="11" t="s">
        <v>10</v>
      </c>
      <c r="E17" s="10">
        <f>E16/E13</f>
        <v>0.16764736244451325</v>
      </c>
      <c r="F17" s="10">
        <f>F16/F13</f>
        <v>0.14319379844961241</v>
      </c>
      <c r="G17" s="10">
        <f t="shared" ref="G17:I17" si="4">G16/G13</f>
        <v>0.16319212808539027</v>
      </c>
      <c r="H17" s="10">
        <f t="shared" si="4"/>
        <v>0.14951901813356921</v>
      </c>
      <c r="I17" s="41">
        <f t="shared" si="4"/>
        <v>7.8985585197934596E-2</v>
      </c>
      <c r="J17" s="16">
        <v>0.14000000000000001</v>
      </c>
      <c r="K17" s="16">
        <v>0.14000000000000001</v>
      </c>
      <c r="L17" s="16">
        <v>0.14000000000000001</v>
      </c>
      <c r="M17" s="16">
        <v>0.14000000000000001</v>
      </c>
      <c r="N17" s="16">
        <v>0.14000000000000001</v>
      </c>
    </row>
    <row r="18" spans="1:14" s="7" customFormat="1" outlineLevel="1" x14ac:dyDescent="0.2">
      <c r="I18" s="42"/>
    </row>
    <row r="19" spans="1:14" s="7" customFormat="1" outlineLevel="1" x14ac:dyDescent="0.2">
      <c r="B19" s="7" t="s">
        <v>11</v>
      </c>
      <c r="E19" s="14">
        <v>1157</v>
      </c>
      <c r="F19" s="14">
        <v>949</v>
      </c>
      <c r="G19" s="14">
        <v>1277</v>
      </c>
      <c r="H19" s="14">
        <v>1207</v>
      </c>
      <c r="I19" s="40">
        <v>651</v>
      </c>
      <c r="J19" s="14">
        <f>J20*J16</f>
        <v>1147.8700800000001</v>
      </c>
      <c r="K19" s="14">
        <f t="shared" ref="K19:N19" si="5">J19*(1+K20)</f>
        <v>1388.9227968000002</v>
      </c>
      <c r="L19" s="14">
        <f t="shared" si="5"/>
        <v>1680.5965841280001</v>
      </c>
      <c r="M19" s="14">
        <f t="shared" si="5"/>
        <v>2033.52186679488</v>
      </c>
      <c r="N19" s="14">
        <f t="shared" si="5"/>
        <v>2460.5614588218045</v>
      </c>
    </row>
    <row r="20" spans="1:14" s="7" customFormat="1" outlineLevel="1" x14ac:dyDescent="0.2">
      <c r="B20" s="11" t="s">
        <v>12</v>
      </c>
      <c r="E20" s="10">
        <f>E19/E16</f>
        <v>0.23747947454844007</v>
      </c>
      <c r="F20" s="10">
        <f t="shared" ref="F20:N20" si="6">F19/F16</f>
        <v>0.20550021654395842</v>
      </c>
      <c r="G20" s="10">
        <f t="shared" si="6"/>
        <v>0.2175097939022313</v>
      </c>
      <c r="H20" s="10">
        <f t="shared" si="6"/>
        <v>0.22314660750600851</v>
      </c>
      <c r="I20" s="41">
        <f t="shared" si="6"/>
        <v>0.22165474974463739</v>
      </c>
      <c r="J20" s="16">
        <v>0.21</v>
      </c>
      <c r="K20" s="16">
        <v>0.21</v>
      </c>
      <c r="L20" s="16">
        <v>0.21</v>
      </c>
      <c r="M20" s="16">
        <v>0.21</v>
      </c>
      <c r="N20" s="16">
        <v>0.21</v>
      </c>
    </row>
    <row r="21" spans="1:14" s="7" customFormat="1" outlineLevel="1" x14ac:dyDescent="0.2">
      <c r="I21" s="42"/>
    </row>
    <row r="22" spans="1:14" outlineLevel="1" x14ac:dyDescent="0.2">
      <c r="A22" t="s">
        <v>2</v>
      </c>
      <c r="B22" s="4" t="s">
        <v>5</v>
      </c>
      <c r="C22" s="3"/>
      <c r="D22" s="3"/>
      <c r="E22" s="4">
        <v>2021</v>
      </c>
      <c r="F22" s="4">
        <f t="shared" ref="F22:N22" si="7">E22+1</f>
        <v>2022</v>
      </c>
      <c r="G22" s="4">
        <f t="shared" si="7"/>
        <v>2023</v>
      </c>
      <c r="H22" s="4">
        <f t="shared" si="7"/>
        <v>2024</v>
      </c>
      <c r="I22" s="39">
        <f>H22+1</f>
        <v>2025</v>
      </c>
      <c r="J22" s="4">
        <f t="shared" si="7"/>
        <v>2026</v>
      </c>
      <c r="K22" s="4">
        <f t="shared" si="7"/>
        <v>2027</v>
      </c>
      <c r="L22" s="4">
        <f t="shared" si="7"/>
        <v>2028</v>
      </c>
      <c r="M22" s="4">
        <f t="shared" si="7"/>
        <v>2029</v>
      </c>
      <c r="N22" s="4">
        <f t="shared" si="7"/>
        <v>2030</v>
      </c>
    </row>
    <row r="23" spans="1:14" s="7" customFormat="1" outlineLevel="1" x14ac:dyDescent="0.2">
      <c r="B23" s="7" t="s">
        <v>13</v>
      </c>
      <c r="E23" s="14">
        <v>1524</v>
      </c>
      <c r="F23" s="14">
        <v>1529</v>
      </c>
      <c r="G23" s="14">
        <v>1450</v>
      </c>
      <c r="H23" s="14">
        <v>1592</v>
      </c>
      <c r="I23" s="40">
        <v>1772</v>
      </c>
      <c r="J23" s="29">
        <v>1800</v>
      </c>
      <c r="K23" s="29">
        <v>1854</v>
      </c>
      <c r="L23" s="29">
        <v>1928</v>
      </c>
      <c r="M23" s="29">
        <f>L23*(M24+1)</f>
        <v>2018.6159999999998</v>
      </c>
      <c r="N23" s="29">
        <f>M23*(N24+1)</f>
        <v>2113.4909519999997</v>
      </c>
    </row>
    <row r="24" spans="1:14" s="7" customFormat="1" outlineLevel="1" x14ac:dyDescent="0.2">
      <c r="B24" s="11" t="s">
        <v>10</v>
      </c>
      <c r="E24" s="10">
        <f>E23/E13</f>
        <v>5.2441416331165482E-2</v>
      </c>
      <c r="F24" s="10">
        <f t="shared" ref="F24:I24" si="8">F23/F13</f>
        <v>4.7410852713178298E-2</v>
      </c>
      <c r="G24" s="10">
        <f t="shared" si="8"/>
        <v>4.0304647542806313E-2</v>
      </c>
      <c r="H24" s="10">
        <f t="shared" si="8"/>
        <v>4.4007076514816452E-2</v>
      </c>
      <c r="I24" s="41">
        <f t="shared" si="8"/>
        <v>4.7654905335628224E-2</v>
      </c>
      <c r="J24" s="16">
        <v>4.7E-2</v>
      </c>
      <c r="K24" s="16">
        <v>4.7E-2</v>
      </c>
      <c r="L24" s="16">
        <v>4.7E-2</v>
      </c>
      <c r="M24" s="16">
        <v>4.7E-2</v>
      </c>
      <c r="N24" s="16">
        <v>4.7E-2</v>
      </c>
    </row>
    <row r="25" spans="1:14" s="7" customFormat="1" outlineLevel="1" x14ac:dyDescent="0.2">
      <c r="E25" s="9"/>
      <c r="F25" s="9"/>
      <c r="G25" s="9"/>
      <c r="H25" s="9"/>
      <c r="I25" s="43"/>
      <c r="J25" s="9"/>
      <c r="K25" s="9"/>
      <c r="L25" s="9"/>
      <c r="M25" s="9"/>
      <c r="N25" s="9"/>
    </row>
    <row r="26" spans="1:14" s="7" customFormat="1" outlineLevel="1" x14ac:dyDescent="0.2">
      <c r="B26" s="7" t="s">
        <v>14</v>
      </c>
      <c r="E26" s="14">
        <v>1470</v>
      </c>
      <c r="F26" s="14">
        <v>1841</v>
      </c>
      <c r="G26" s="14">
        <v>2334</v>
      </c>
      <c r="H26" s="14">
        <v>2778</v>
      </c>
      <c r="I26" s="40">
        <v>2306</v>
      </c>
      <c r="J26" s="29">
        <v>2412</v>
      </c>
      <c r="K26" s="29">
        <v>2486</v>
      </c>
      <c r="L26" s="29">
        <v>2584</v>
      </c>
      <c r="M26" s="29">
        <v>2689</v>
      </c>
      <c r="N26" s="29">
        <v>2797</v>
      </c>
    </row>
    <row r="27" spans="1:14" s="7" customFormat="1" outlineLevel="1" x14ac:dyDescent="0.2">
      <c r="B27" s="11" t="s">
        <v>10</v>
      </c>
      <c r="E27" s="10">
        <f>E26/E$13</f>
        <v>5.0583255909982451E-2</v>
      </c>
      <c r="F27" s="10">
        <f t="shared" ref="F27:I27" si="9">F26/F$13</f>
        <v>5.7085271317829457E-2</v>
      </c>
      <c r="G27" s="10">
        <f t="shared" si="9"/>
        <v>6.4876584389593067E-2</v>
      </c>
      <c r="H27" s="10">
        <f t="shared" si="9"/>
        <v>7.6791242812914634E-2</v>
      </c>
      <c r="I27" s="41">
        <f t="shared" si="9"/>
        <v>6.2015920826161787E-2</v>
      </c>
      <c r="J27" s="16">
        <v>6.3E-2</v>
      </c>
      <c r="K27" s="16">
        <v>6.3E-2</v>
      </c>
      <c r="L27" s="16">
        <v>6.3E-2</v>
      </c>
      <c r="M27" s="16">
        <v>6.3E-2</v>
      </c>
      <c r="N27" s="16">
        <v>6.3E-2</v>
      </c>
    </row>
    <row r="28" spans="1:14" s="7" customFormat="1" outlineLevel="1" x14ac:dyDescent="0.2">
      <c r="E28" s="9"/>
      <c r="F28" s="9"/>
      <c r="G28" s="9"/>
      <c r="H28" s="9"/>
      <c r="I28" s="43"/>
      <c r="J28" s="9"/>
      <c r="K28" s="9"/>
      <c r="L28" s="9"/>
      <c r="M28" s="9"/>
      <c r="N28" s="9"/>
    </row>
    <row r="29" spans="1:14" s="7" customFormat="1" outlineLevel="1" x14ac:dyDescent="0.2">
      <c r="B29" s="7" t="s">
        <v>15</v>
      </c>
      <c r="E29" s="18">
        <v>1821</v>
      </c>
      <c r="F29" s="18">
        <f>-1983</f>
        <v>-1983</v>
      </c>
      <c r="G29" s="18">
        <f>-1185</f>
        <v>-1185</v>
      </c>
      <c r="H29" s="18">
        <v>-986.9</v>
      </c>
      <c r="I29" s="44">
        <v>-887</v>
      </c>
      <c r="J29" s="9"/>
      <c r="K29" s="9"/>
      <c r="L29" s="9"/>
      <c r="M29" s="9"/>
      <c r="N29" s="9"/>
    </row>
    <row r="30" spans="1:14" s="7" customFormat="1" outlineLevel="1" x14ac:dyDescent="0.2">
      <c r="B30" s="11" t="s">
        <v>10</v>
      </c>
      <c r="E30" s="37">
        <f>E29/E$13</f>
        <v>6.2661298647672142E-2</v>
      </c>
      <c r="F30" s="37">
        <f t="shared" ref="F30:I30" si="10">F29/F$13</f>
        <v>-6.1488372093023255E-2</v>
      </c>
      <c r="G30" s="37">
        <f t="shared" si="10"/>
        <v>-3.2938625750500335E-2</v>
      </c>
      <c r="H30" s="37">
        <f t="shared" si="10"/>
        <v>-2.7280517470145954E-2</v>
      </c>
      <c r="I30" s="49">
        <f t="shared" si="10"/>
        <v>-2.3854345955249569E-2</v>
      </c>
      <c r="J30" s="16"/>
      <c r="K30" s="10"/>
      <c r="L30" s="10"/>
      <c r="M30" s="10"/>
      <c r="N30" s="10"/>
    </row>
    <row r="31" spans="1:14" x14ac:dyDescent="0.2">
      <c r="I31" s="45"/>
      <c r="N31">
        <v>5</v>
      </c>
    </row>
    <row r="32" spans="1:14" x14ac:dyDescent="0.2">
      <c r="A32" t="s">
        <v>2</v>
      </c>
      <c r="B32" s="4" t="s">
        <v>6</v>
      </c>
      <c r="C32" s="3"/>
      <c r="D32" s="3"/>
      <c r="E32" s="4">
        <f t="shared" ref="E32:N32" si="11">E22</f>
        <v>2021</v>
      </c>
      <c r="F32" s="4">
        <f t="shared" si="11"/>
        <v>2022</v>
      </c>
      <c r="G32" s="4">
        <f t="shared" si="11"/>
        <v>2023</v>
      </c>
      <c r="H32" s="4">
        <f t="shared" si="11"/>
        <v>2024</v>
      </c>
      <c r="I32" s="39">
        <f t="shared" si="11"/>
        <v>2025</v>
      </c>
      <c r="J32" s="4">
        <f t="shared" si="11"/>
        <v>2026</v>
      </c>
      <c r="K32" s="4">
        <f t="shared" si="11"/>
        <v>2027</v>
      </c>
      <c r="L32" s="4">
        <f t="shared" si="11"/>
        <v>2028</v>
      </c>
      <c r="M32" s="4">
        <f t="shared" si="11"/>
        <v>2029</v>
      </c>
      <c r="N32" s="4">
        <f t="shared" si="11"/>
        <v>2030</v>
      </c>
    </row>
    <row r="33" spans="2:30" x14ac:dyDescent="0.2">
      <c r="B33" t="s">
        <v>7</v>
      </c>
      <c r="E33" s="15">
        <f>E13</f>
        <v>29061</v>
      </c>
      <c r="F33" s="15">
        <f t="shared" ref="F33:I33" si="12">F13</f>
        <v>32250</v>
      </c>
      <c r="G33" s="15">
        <f t="shared" si="12"/>
        <v>35976</v>
      </c>
      <c r="H33" s="15">
        <f t="shared" si="12"/>
        <v>36176</v>
      </c>
      <c r="I33" s="46">
        <f t="shared" si="12"/>
        <v>37184</v>
      </c>
      <c r="J33" s="21">
        <f>I33*(1+J34)</f>
        <v>39043.200000000004</v>
      </c>
      <c r="K33" s="21">
        <f t="shared" ref="K33:N33" si="13">J33*(1+K34)</f>
        <v>40800.144</v>
      </c>
      <c r="L33" s="21">
        <f t="shared" si="13"/>
        <v>42432.14976</v>
      </c>
      <c r="M33" s="21">
        <f t="shared" si="13"/>
        <v>43917.275001599999</v>
      </c>
      <c r="N33" s="21">
        <f t="shared" si="13"/>
        <v>45234.793251648</v>
      </c>
    </row>
    <row r="34" spans="2:30" x14ac:dyDescent="0.2">
      <c r="B34" s="12" t="s">
        <v>8</v>
      </c>
      <c r="E34" s="22"/>
      <c r="F34" s="22">
        <f>F33/E33-1</f>
        <v>0.10973469598430885</v>
      </c>
      <c r="G34" s="22">
        <f t="shared" ref="G34:I34" si="14">G33/F33-1</f>
        <v>0.11553488372093024</v>
      </c>
      <c r="H34" s="22">
        <f t="shared" si="14"/>
        <v>5.5592617300421754E-3</v>
      </c>
      <c r="I34" s="47">
        <f t="shared" si="14"/>
        <v>2.7863777089783381E-2</v>
      </c>
      <c r="J34" s="36">
        <f>J14</f>
        <v>0.05</v>
      </c>
      <c r="K34" s="36">
        <f t="shared" ref="K34:N34" si="15">K14</f>
        <v>4.4999999999999998E-2</v>
      </c>
      <c r="L34" s="36">
        <f t="shared" si="15"/>
        <v>0.04</v>
      </c>
      <c r="M34" s="36">
        <f t="shared" si="15"/>
        <v>3.5000000000000003E-2</v>
      </c>
      <c r="N34" s="36">
        <f t="shared" si="15"/>
        <v>0.03</v>
      </c>
      <c r="U34" s="7"/>
      <c r="Y34" s="27"/>
      <c r="Z34" s="27"/>
      <c r="AA34" s="27"/>
    </row>
    <row r="35" spans="2:30" x14ac:dyDescent="0.2">
      <c r="I35" s="45"/>
      <c r="Y35" s="27"/>
      <c r="Z35" s="27"/>
      <c r="AA35" s="27"/>
    </row>
    <row r="36" spans="2:30" x14ac:dyDescent="0.2">
      <c r="B36" t="s">
        <v>9</v>
      </c>
      <c r="E36" s="15">
        <f>E16</f>
        <v>4872</v>
      </c>
      <c r="F36" s="15">
        <f t="shared" ref="F36:I36" si="16">F16</f>
        <v>4618</v>
      </c>
      <c r="G36" s="15">
        <f t="shared" si="16"/>
        <v>5871</v>
      </c>
      <c r="H36" s="15">
        <f t="shared" si="16"/>
        <v>5409</v>
      </c>
      <c r="I36" s="46">
        <f t="shared" si="16"/>
        <v>2937</v>
      </c>
      <c r="J36" s="21">
        <f>J33*J37</f>
        <v>5466.0480000000007</v>
      </c>
      <c r="K36" s="21">
        <f t="shared" ref="K36:N36" si="17">K33*K37</f>
        <v>5712.0201600000009</v>
      </c>
      <c r="L36" s="21">
        <f t="shared" si="17"/>
        <v>5940.5009664000008</v>
      </c>
      <c r="M36" s="21">
        <f>M33*M37</f>
        <v>6148.4185002240001</v>
      </c>
      <c r="N36" s="21">
        <f t="shared" si="17"/>
        <v>6332.8710552307202</v>
      </c>
      <c r="V36" s="13"/>
      <c r="W36" s="13"/>
      <c r="X36" s="13"/>
      <c r="Y36" s="13"/>
      <c r="Z36" s="13"/>
      <c r="AA36" s="13"/>
    </row>
    <row r="37" spans="2:30" x14ac:dyDescent="0.2">
      <c r="B37" s="12" t="s">
        <v>16</v>
      </c>
      <c r="E37" s="22">
        <f>E36/E33</f>
        <v>0.16764736244451325</v>
      </c>
      <c r="F37" s="22">
        <f t="shared" ref="F37:I37" si="18">F36/F33</f>
        <v>0.14319379844961241</v>
      </c>
      <c r="G37" s="22">
        <f t="shared" si="18"/>
        <v>0.16319212808539027</v>
      </c>
      <c r="H37" s="22">
        <f t="shared" si="18"/>
        <v>0.14951901813356921</v>
      </c>
      <c r="I37" s="47">
        <f t="shared" si="18"/>
        <v>7.8985585197934596E-2</v>
      </c>
      <c r="J37" s="36">
        <f>J17</f>
        <v>0.14000000000000001</v>
      </c>
      <c r="K37" s="36">
        <f t="shared" ref="K37:N37" si="19">K17</f>
        <v>0.14000000000000001</v>
      </c>
      <c r="L37" s="36">
        <f t="shared" si="19"/>
        <v>0.14000000000000001</v>
      </c>
      <c r="M37" s="36">
        <f t="shared" si="19"/>
        <v>0.14000000000000001</v>
      </c>
      <c r="N37" s="36">
        <f t="shared" si="19"/>
        <v>0.14000000000000001</v>
      </c>
      <c r="V37" s="28"/>
      <c r="W37" s="28"/>
      <c r="X37" s="28"/>
      <c r="Y37" s="28"/>
      <c r="Z37" s="28"/>
      <c r="AA37" s="28"/>
    </row>
    <row r="38" spans="2:30" x14ac:dyDescent="0.2">
      <c r="I38" s="45"/>
      <c r="K38" s="26"/>
      <c r="L38" s="26"/>
      <c r="U38" s="7"/>
      <c r="Y38" s="9"/>
      <c r="Z38" s="9"/>
      <c r="AA38" s="9"/>
      <c r="AB38" s="7"/>
      <c r="AC38" s="7"/>
      <c r="AD38" s="7"/>
    </row>
    <row r="39" spans="2:30" x14ac:dyDescent="0.2">
      <c r="B39" t="s">
        <v>11</v>
      </c>
      <c r="E39" s="15">
        <f>E19</f>
        <v>1157</v>
      </c>
      <c r="F39" s="15">
        <f t="shared" ref="F39:I39" si="20">F19</f>
        <v>949</v>
      </c>
      <c r="G39" s="15">
        <f t="shared" si="20"/>
        <v>1277</v>
      </c>
      <c r="H39" s="15">
        <f t="shared" si="20"/>
        <v>1207</v>
      </c>
      <c r="I39" s="46">
        <f t="shared" si="20"/>
        <v>651</v>
      </c>
      <c r="J39" s="21">
        <f>J36*J40</f>
        <v>1147.8700800000001</v>
      </c>
      <c r="K39" s="21">
        <f t="shared" ref="K39:N39" si="21">K36*K40</f>
        <v>1199.5242336000001</v>
      </c>
      <c r="L39" s="21">
        <f t="shared" si="21"/>
        <v>1247.5052029440001</v>
      </c>
      <c r="M39" s="21">
        <f t="shared" si="21"/>
        <v>1291.16788504704</v>
      </c>
      <c r="N39" s="21">
        <f t="shared" si="21"/>
        <v>1329.9029215984513</v>
      </c>
      <c r="U39" s="7"/>
      <c r="Y39" s="9"/>
      <c r="Z39" s="9"/>
      <c r="AA39" s="9"/>
      <c r="AB39" s="7"/>
      <c r="AC39" s="7"/>
      <c r="AD39" s="7"/>
    </row>
    <row r="40" spans="2:30" x14ac:dyDescent="0.2">
      <c r="B40" s="12" t="s">
        <v>12</v>
      </c>
      <c r="E40" s="22">
        <f>E39/E36</f>
        <v>0.23747947454844007</v>
      </c>
      <c r="F40" s="22">
        <f t="shared" ref="F40:I40" si="22">F39/F36</f>
        <v>0.20550021654395842</v>
      </c>
      <c r="G40" s="22">
        <f t="shared" si="22"/>
        <v>0.2175097939022313</v>
      </c>
      <c r="H40" s="22">
        <f t="shared" si="22"/>
        <v>0.22314660750600851</v>
      </c>
      <c r="I40" s="47">
        <f t="shared" si="22"/>
        <v>0.22165474974463739</v>
      </c>
      <c r="J40" s="36">
        <f>J20</f>
        <v>0.21</v>
      </c>
      <c r="K40" s="36">
        <f t="shared" ref="K40:N40" si="23">K20</f>
        <v>0.21</v>
      </c>
      <c r="L40" s="36">
        <f t="shared" si="23"/>
        <v>0.21</v>
      </c>
      <c r="M40" s="36">
        <f t="shared" si="23"/>
        <v>0.21</v>
      </c>
      <c r="N40" s="36">
        <f t="shared" si="23"/>
        <v>0.21</v>
      </c>
      <c r="U40" s="7"/>
      <c r="Y40" s="24"/>
      <c r="Z40" s="24"/>
      <c r="AA40" s="24"/>
      <c r="AB40" s="7"/>
      <c r="AC40" s="7"/>
      <c r="AD40" s="7"/>
    </row>
    <row r="41" spans="2:30" x14ac:dyDescent="0.2">
      <c r="I41" s="45"/>
      <c r="U41" s="7"/>
      <c r="Y41" s="25"/>
      <c r="Z41" s="25"/>
      <c r="AA41" s="25"/>
      <c r="AB41" s="25"/>
      <c r="AC41" s="25"/>
      <c r="AD41" s="25"/>
    </row>
    <row r="42" spans="2:30" x14ac:dyDescent="0.2">
      <c r="B42" s="55" t="s">
        <v>17</v>
      </c>
      <c r="C42" s="56"/>
      <c r="D42" s="56"/>
      <c r="E42" s="56"/>
      <c r="F42" s="56"/>
      <c r="G42" s="56"/>
      <c r="H42" s="56"/>
      <c r="I42" s="57"/>
      <c r="J42" s="59">
        <f>J36-J39</f>
        <v>4318.1779200000001</v>
      </c>
      <c r="K42" s="59">
        <f t="shared" ref="K42:N42" si="24">K36-K39</f>
        <v>4512.4959264000008</v>
      </c>
      <c r="L42" s="59">
        <f t="shared" si="24"/>
        <v>4692.9957634560005</v>
      </c>
      <c r="M42" s="59">
        <f t="shared" si="24"/>
        <v>4857.2506151769603</v>
      </c>
      <c r="N42" s="59">
        <f t="shared" si="24"/>
        <v>5002.9681336322692</v>
      </c>
      <c r="U42" s="7"/>
      <c r="Y42" s="24"/>
      <c r="Z42" s="24"/>
      <c r="AA42" s="24"/>
      <c r="AB42" s="24"/>
      <c r="AC42" s="24"/>
      <c r="AD42" s="24"/>
    </row>
    <row r="43" spans="2:30" x14ac:dyDescent="0.2">
      <c r="I43" s="45"/>
      <c r="K43" s="13"/>
      <c r="U43" s="7"/>
      <c r="Y43" s="7"/>
      <c r="Z43" s="7"/>
      <c r="AA43" s="7"/>
      <c r="AB43" s="7"/>
      <c r="AC43" s="7"/>
      <c r="AD43" s="7"/>
    </row>
    <row r="44" spans="2:30" x14ac:dyDescent="0.2">
      <c r="B44" t="s">
        <v>13</v>
      </c>
      <c r="E44" s="15"/>
      <c r="F44" s="15"/>
      <c r="G44" s="15"/>
      <c r="H44" s="15"/>
      <c r="I44" s="46"/>
      <c r="J44" s="15">
        <f>J23</f>
        <v>1800</v>
      </c>
      <c r="K44" s="15">
        <f t="shared" ref="K44:N44" si="25">K23</f>
        <v>1854</v>
      </c>
      <c r="L44" s="15">
        <f t="shared" si="25"/>
        <v>1928</v>
      </c>
      <c r="M44" s="15">
        <f t="shared" si="25"/>
        <v>2018.6159999999998</v>
      </c>
      <c r="N44" s="15">
        <f t="shared" si="25"/>
        <v>2113.4909519999997</v>
      </c>
      <c r="U44" s="7"/>
    </row>
    <row r="45" spans="2:30" x14ac:dyDescent="0.2">
      <c r="B45" s="12" t="s">
        <v>10</v>
      </c>
      <c r="E45" s="22"/>
      <c r="F45" s="22"/>
      <c r="G45" s="22"/>
      <c r="H45" s="22"/>
      <c r="I45" s="47"/>
      <c r="J45" s="23">
        <f>J44/J33</f>
        <v>4.6102778460781896E-2</v>
      </c>
      <c r="K45" s="23">
        <f t="shared" ref="K45:N45" si="26">K44/K33</f>
        <v>4.5441016090531444E-2</v>
      </c>
      <c r="L45" s="23">
        <f t="shared" si="26"/>
        <v>4.5437245364775031E-2</v>
      </c>
      <c r="M45" s="23">
        <f t="shared" si="26"/>
        <v>4.5964054006685462E-2</v>
      </c>
      <c r="N45" s="23">
        <f t="shared" si="26"/>
        <v>4.672268402427153E-2</v>
      </c>
      <c r="U45" s="7"/>
      <c r="Y45" s="24"/>
      <c r="Z45" s="24"/>
      <c r="AA45" s="24"/>
    </row>
    <row r="46" spans="2:30" x14ac:dyDescent="0.2">
      <c r="I46" s="45"/>
      <c r="J46" s="15"/>
    </row>
    <row r="47" spans="2:30" x14ac:dyDescent="0.2">
      <c r="B47" t="s">
        <v>14</v>
      </c>
      <c r="F47" s="15"/>
      <c r="G47" s="15"/>
      <c r="H47" s="15"/>
      <c r="I47" s="46"/>
      <c r="J47" s="13">
        <f>J26</f>
        <v>2412</v>
      </c>
      <c r="K47" s="13">
        <f t="shared" ref="K47:N47" si="27">K26</f>
        <v>2486</v>
      </c>
      <c r="L47" s="13">
        <f t="shared" si="27"/>
        <v>2584</v>
      </c>
      <c r="M47" s="13">
        <f t="shared" si="27"/>
        <v>2689</v>
      </c>
      <c r="N47" s="13">
        <f t="shared" si="27"/>
        <v>2797</v>
      </c>
      <c r="U47" s="7"/>
    </row>
    <row r="48" spans="2:30" x14ac:dyDescent="0.2">
      <c r="B48" s="12" t="s">
        <v>10</v>
      </c>
      <c r="E48" s="22"/>
      <c r="F48" s="22"/>
      <c r="G48" s="22"/>
      <c r="H48" s="22"/>
      <c r="I48" s="47"/>
      <c r="J48" s="23">
        <f>J47/J33</f>
        <v>6.177772313744774E-2</v>
      </c>
      <c r="K48" s="23">
        <f t="shared" ref="K48:N48" si="28">K47/K33</f>
        <v>6.0931157497875497E-2</v>
      </c>
      <c r="L48" s="23">
        <f t="shared" si="28"/>
        <v>6.0897220966067783E-2</v>
      </c>
      <c r="M48" s="23">
        <f t="shared" si="28"/>
        <v>6.1228753375568816E-2</v>
      </c>
      <c r="N48" s="23">
        <f t="shared" si="28"/>
        <v>6.1832934317614004E-2</v>
      </c>
      <c r="U48" s="7"/>
      <c r="Y48" s="26"/>
      <c r="Z48" s="26"/>
      <c r="AA48" s="26"/>
      <c r="AB48" s="26"/>
      <c r="AC48" s="26"/>
      <c r="AD48" s="26"/>
    </row>
    <row r="49" spans="1:27" x14ac:dyDescent="0.2">
      <c r="I49" s="45"/>
    </row>
    <row r="50" spans="1:27" x14ac:dyDescent="0.2">
      <c r="B50" t="s">
        <v>15</v>
      </c>
      <c r="E50" s="30"/>
      <c r="F50" s="30"/>
      <c r="G50" s="30"/>
      <c r="H50" s="30"/>
      <c r="I50" s="48"/>
      <c r="J50" s="31">
        <f>J51*J33</f>
        <v>-1094.1660175307791</v>
      </c>
      <c r="K50" s="31">
        <f t="shared" ref="K50:N50" si="29">K51*K33</f>
        <v>-1143.4034883196641</v>
      </c>
      <c r="L50" s="31">
        <f t="shared" si="29"/>
        <v>-1189.1396278524508</v>
      </c>
      <c r="M50" s="31">
        <f t="shared" si="29"/>
        <v>-1230.7595148272865</v>
      </c>
      <c r="N50" s="31">
        <f t="shared" si="29"/>
        <v>-1267.6823002721051</v>
      </c>
      <c r="U50" s="7"/>
      <c r="Y50" s="26"/>
      <c r="Z50" s="26"/>
      <c r="AA50" s="26"/>
    </row>
    <row r="51" spans="1:27" x14ac:dyDescent="0.2">
      <c r="B51" s="12" t="s">
        <v>10</v>
      </c>
      <c r="E51" s="38"/>
      <c r="F51" s="38"/>
      <c r="G51" s="38"/>
      <c r="H51" s="38"/>
      <c r="I51" s="49"/>
      <c r="J51" s="38">
        <f>AVERAGE($G$30:$I$30)</f>
        <v>-2.8024496391965286E-2</v>
      </c>
      <c r="K51" s="38">
        <f t="shared" ref="K51:N51" si="30">AVERAGE($G$30:$I$30)</f>
        <v>-2.8024496391965286E-2</v>
      </c>
      <c r="L51" s="38">
        <f t="shared" si="30"/>
        <v>-2.8024496391965286E-2</v>
      </c>
      <c r="M51" s="38">
        <f t="shared" si="30"/>
        <v>-2.8024496391965286E-2</v>
      </c>
      <c r="N51" s="38">
        <f t="shared" si="30"/>
        <v>-2.8024496391965286E-2</v>
      </c>
    </row>
    <row r="52" spans="1:27" x14ac:dyDescent="0.2">
      <c r="I52" s="50"/>
    </row>
    <row r="53" spans="1:27" x14ac:dyDescent="0.2">
      <c r="B53" s="55" t="s">
        <v>18</v>
      </c>
      <c r="C53" s="56"/>
      <c r="D53" s="56"/>
      <c r="E53" s="56"/>
      <c r="F53" s="56"/>
      <c r="G53" s="56"/>
      <c r="H53" s="56"/>
      <c r="I53" s="57"/>
      <c r="J53" s="58">
        <f>J42+J44-J47-J50</f>
        <v>4800.3439375307789</v>
      </c>
      <c r="K53" s="58">
        <f>K42+K44-K47-K50</f>
        <v>5023.8994147196645</v>
      </c>
      <c r="L53" s="58">
        <f t="shared" ref="K53:N53" si="31">L42+L44-L47-L50</f>
        <v>5226.1353913084513</v>
      </c>
      <c r="M53" s="58">
        <f t="shared" si="31"/>
        <v>5417.626130004247</v>
      </c>
      <c r="N53" s="58">
        <f t="shared" si="31"/>
        <v>5587.1413859043732</v>
      </c>
      <c r="P53" s="71"/>
    </row>
    <row r="54" spans="1:27" x14ac:dyDescent="0.2">
      <c r="B54" s="55" t="s">
        <v>19</v>
      </c>
      <c r="C54" s="56"/>
      <c r="D54" s="56"/>
      <c r="E54" s="56"/>
      <c r="F54" s="56"/>
      <c r="G54" s="56"/>
      <c r="H54" s="56"/>
      <c r="I54" s="57"/>
      <c r="J54" s="58">
        <f>(J53)/((1+wacc)^1)</f>
        <v>4436.9978338466517</v>
      </c>
      <c r="K54" s="58">
        <f>K53/(1+wacc)^2</f>
        <v>4292.1477058508663</v>
      </c>
      <c r="L54" s="58">
        <f>(L53)/((1+wacc)^3)</f>
        <v>4126.9693316843104</v>
      </c>
      <c r="M54" s="58">
        <f>(M53)/((1+wacc)^4)</f>
        <v>3954.3624882864751</v>
      </c>
      <c r="N54" s="58">
        <f>N53/(1+wacc)^N31</f>
        <v>3769.4151332763549</v>
      </c>
    </row>
    <row r="55" spans="1:27" x14ac:dyDescent="0.2">
      <c r="J55" s="32"/>
    </row>
    <row r="56" spans="1:27" x14ac:dyDescent="0.2">
      <c r="A56" t="s">
        <v>2</v>
      </c>
      <c r="B56" t="s">
        <v>31</v>
      </c>
      <c r="J56" s="32"/>
      <c r="N56" s="31">
        <f>(N53*(1+tgr))/(wacc-tgr)</f>
        <v>100664.65030094894</v>
      </c>
    </row>
    <row r="57" spans="1:27" x14ac:dyDescent="0.2">
      <c r="B57" s="1" t="s">
        <v>32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51">
        <f>N56/((1+wacc)^5)</f>
        <v>67914.310739954395</v>
      </c>
    </row>
    <row r="58" spans="1:27" x14ac:dyDescent="0.2">
      <c r="B58" s="19" t="s">
        <v>24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54">
        <f>SUM(J54:N54,N57)</f>
        <v>88494.203232899046</v>
      </c>
    </row>
    <row r="59" spans="1:27" x14ac:dyDescent="0.2">
      <c r="B59" s="33" t="s">
        <v>25</v>
      </c>
      <c r="E59" s="15"/>
      <c r="N59" s="68">
        <v>34700</v>
      </c>
    </row>
    <row r="60" spans="1:27" x14ac:dyDescent="0.2">
      <c r="B60" s="52" t="s">
        <v>26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69">
        <v>26628</v>
      </c>
    </row>
    <row r="61" spans="1:27" x14ac:dyDescent="0.2">
      <c r="B61" s="19" t="s">
        <v>27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54">
        <f>N58+N59-N60</f>
        <v>96566.203232899046</v>
      </c>
    </row>
    <row r="62" spans="1:27" x14ac:dyDescent="0.2">
      <c r="B62" s="1" t="s">
        <v>28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70">
        <v>1137</v>
      </c>
    </row>
    <row r="63" spans="1:27" x14ac:dyDescent="0.2">
      <c r="A63" t="s">
        <v>2</v>
      </c>
      <c r="B63" s="19" t="s">
        <v>29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53">
        <f>N61/N62</f>
        <v>84.930697654264776</v>
      </c>
    </row>
  </sheetData>
  <pageMargins left="0.7" right="0.7" top="0.75" bottom="0.75" header="0.3" footer="0.3"/>
  <pageSetup scale="77" fitToWidth="2" fitToHeight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9695-58F3-4CD4-90DA-B503E392CA39}">
  <dimension ref="A2:J22"/>
  <sheetViews>
    <sheetView showGridLines="0" topLeftCell="A7" zoomScale="180" zoomScaleNormal="180" workbookViewId="0">
      <selection activeCell="D22" sqref="D22"/>
    </sheetView>
  </sheetViews>
  <sheetFormatPr baseColWidth="10" defaultColWidth="9.6640625" defaultRowHeight="15" outlineLevelCol="1" x14ac:dyDescent="0.2"/>
  <cols>
    <col min="1" max="1" width="3.6640625" customWidth="1"/>
    <col min="5" max="10" width="9.6640625" customWidth="1" outlineLevel="1"/>
    <col min="11" max="18" width="9.6640625" customWidth="1"/>
    <col min="22" max="26" width="10.5" bestFit="1" customWidth="1"/>
    <col min="27" max="27" width="12" bestFit="1" customWidth="1"/>
    <col min="30" max="30" width="10.33203125" bestFit="1" customWidth="1"/>
  </cols>
  <sheetData>
    <row r="2" spans="1:9" s="1" customFormat="1" ht="21" x14ac:dyDescent="0.25">
      <c r="B2" s="2" t="s">
        <v>20</v>
      </c>
    </row>
    <row r="4" spans="1:9" x14ac:dyDescent="0.2">
      <c r="A4" t="s">
        <v>2</v>
      </c>
      <c r="B4" s="4" t="s">
        <v>20</v>
      </c>
      <c r="C4" s="3"/>
      <c r="D4" s="3"/>
      <c r="E4" s="3"/>
      <c r="F4" s="3"/>
      <c r="G4" s="3"/>
      <c r="H4" s="3"/>
      <c r="I4" s="3"/>
    </row>
    <row r="5" spans="1:9" x14ac:dyDescent="0.2">
      <c r="B5" s="19" t="s">
        <v>44</v>
      </c>
    </row>
    <row r="6" spans="1:9" x14ac:dyDescent="0.2">
      <c r="B6" s="19" t="s">
        <v>45</v>
      </c>
    </row>
    <row r="8" spans="1:9" x14ac:dyDescent="0.2">
      <c r="B8" t="s">
        <v>34</v>
      </c>
      <c r="D8" s="13">
        <v>26628</v>
      </c>
    </row>
    <row r="9" spans="1:9" x14ac:dyDescent="0.2">
      <c r="B9" t="s">
        <v>35</v>
      </c>
      <c r="D9" s="61">
        <f>D8/D20</f>
        <v>0.21644733098688862</v>
      </c>
    </row>
    <row r="10" spans="1:9" x14ac:dyDescent="0.2">
      <c r="B10" t="s">
        <v>36</v>
      </c>
      <c r="D10" s="60">
        <v>4.6699999999999998E-2</v>
      </c>
    </row>
    <row r="11" spans="1:9" x14ac:dyDescent="0.2">
      <c r="B11" t="s">
        <v>37</v>
      </c>
      <c r="D11" s="60">
        <v>0.21</v>
      </c>
    </row>
    <row r="13" spans="1:9" x14ac:dyDescent="0.2">
      <c r="B13" t="s">
        <v>27</v>
      </c>
      <c r="D13" s="13">
        <v>96395</v>
      </c>
    </row>
    <row r="14" spans="1:9" x14ac:dyDescent="0.2">
      <c r="B14" t="s">
        <v>38</v>
      </c>
      <c r="D14" s="17">
        <f>D13/D20</f>
        <v>0.78355266901311138</v>
      </c>
    </row>
    <row r="15" spans="1:9" x14ac:dyDescent="0.2">
      <c r="B15" t="s">
        <v>39</v>
      </c>
      <c r="D15" s="26">
        <f>D16+D17*(D18)</f>
        <v>9.4320000000000001E-2</v>
      </c>
    </row>
    <row r="16" spans="1:9" x14ac:dyDescent="0.2">
      <c r="B16" t="s">
        <v>40</v>
      </c>
      <c r="D16" s="60">
        <v>4.1399999999999999E-2</v>
      </c>
    </row>
    <row r="17" spans="1:5" x14ac:dyDescent="0.2">
      <c r="B17" t="s">
        <v>41</v>
      </c>
      <c r="D17" s="62">
        <v>0.98</v>
      </c>
    </row>
    <row r="18" spans="1:5" x14ac:dyDescent="0.2">
      <c r="B18" t="s">
        <v>42</v>
      </c>
      <c r="D18" s="60">
        <v>5.3999999999999999E-2</v>
      </c>
      <c r="E18" t="s">
        <v>48</v>
      </c>
    </row>
    <row r="20" spans="1:5" x14ac:dyDescent="0.2">
      <c r="B20" t="s">
        <v>43</v>
      </c>
      <c r="D20" s="13">
        <f>D8+D13</f>
        <v>123023</v>
      </c>
    </row>
    <row r="22" spans="1:5" x14ac:dyDescent="0.2">
      <c r="A22" t="s">
        <v>2</v>
      </c>
      <c r="B22" s="63" t="s">
        <v>20</v>
      </c>
      <c r="C22" s="64"/>
      <c r="D22" s="65">
        <f>(D14*D15)+(D9*D10)*(1-D11)</f>
        <v>8.1890079123415949E-2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658683423"><![CDATA[{"AMZN^FE_ESTIMATE(DEP_AMORT_EXP,MEAN,ANN_ROLL,2022,NOW,,,'')":38716.438,"AMZN^FE_ESTIMATE(DEP_AMORT_EXP,MEAN,ANN_ROLL,2023,NOW,,,'')":44728.72,"AMZN^FE_ESTIMATE(DEP_AMORT_EXP,MEAN,ANN_ROLL,2024,NOW,,,'')":52136.97,"AMZN^FE_ESTIMATE(DEP_AMORT_EXP,MEAN,ANN_ROLL,2025,NOW,,,'')":55507.54,"AMZN^FE_ESTIMATE(DEP_AMORT_EXP,MEAN,ANN_ROLL,2026,NOW,,,'')":58234.55,"AMZN^FE_ESTIMATE(DEP_AMORT_EXP,MEAN,ANN_ROLL,2027,NOW,,,'')":64625.0,"AMZN^FE_ESTIMATE(CAPEX,MEAN,ANN_ROLL,2022,NOW,,,'')":61050.723,"AMZN^FE_ESTIMATE(CAPEX,MEAN,ANN_ROLL,2023,NOW,,,'')":62598.887,"AMZN^FE_ESTIMATE(CAPEX,MEAN,ANN_ROLL,2024,NOW,,,'')":64481.453,"AMZN^FE_ESTIMATE(CAPEX,MEAN,ANN_ROLL,2025,NOW,,,'')":69493.41,"AMZN^FE_ESTIMATE(CAPEX,MEAN,ANN_ROLL,2026,NOW,,,'')":65697.0,"AMZN^FE_ESTIMATE(CAPEX,MEAN,ANN_ROLL,2027,NOW,,,'')":69051.93}]]></FdsFormulaCache>
</file>

<file path=customXml/itemProps1.xml><?xml version="1.0" encoding="utf-8"?>
<ds:datastoreItem xmlns:ds="http://schemas.openxmlformats.org/officeDocument/2006/customXml" ds:itemID="{A526D3C0-3EFD-4AAE-9122-7BC4D1911E20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DCF</vt:lpstr>
      <vt:lpstr>WACC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Hayat Shemsedin</cp:lastModifiedBy>
  <cp:lastPrinted>2025-12-07T20:44:06Z</cp:lastPrinted>
  <dcterms:created xsi:type="dcterms:W3CDTF">2022-06-12T18:45:32Z</dcterms:created>
  <dcterms:modified xsi:type="dcterms:W3CDTF">2025-12-07T23:19:01Z</dcterms:modified>
</cp:coreProperties>
</file>